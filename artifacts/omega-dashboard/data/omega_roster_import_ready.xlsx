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4f6c1dd4e441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y_Import" sheetId="1" r:id="Ra4bc4fb396374af4"/>
    <x:sheet xmlns:r="http://schemas.openxmlformats.org/officeDocument/2006/relationships" name="Review_Before_Insert" sheetId="2" r:id="R44e8eaecf2fa455c"/>
    <x:sheet xmlns:r="http://schemas.openxmlformats.org/officeDocument/2006/relationships" name="Job_Mapping" sheetId="3" r:id="Rd24fb40591154dbb"/>
    <x:sheet xmlns:r="http://schemas.openxmlformats.org/officeDocument/2006/relationships" name="Control_Summary" sheetId="4" r:id="Re73c2b9ead7848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00E5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A0A0A"/>
      </x:patternFill>
    </x:fill>
    <x:fill>
      <x:patternFill patternType="solid">
        <x:fgColor rgb="E5E7E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  <x:dxfs count="2"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66b8e17b24abc" /><Relationship Type="http://schemas.openxmlformats.org/officeDocument/2006/relationships/theme" Target="/xl/theme/theme1.xml" Id="R9a273e7c20374e55" /><Relationship Type="http://schemas.openxmlformats.org/officeDocument/2006/relationships/sharedStrings" Target="/xl/sharedStrings.xml" Id="R17982d07f4474e68" /><Relationship Type="http://schemas.openxmlformats.org/officeDocument/2006/relationships/worksheet" Target="/xl/worksheets/sheet1.xml" Id="Ra4bc4fb396374af4" /><Relationship Type="http://schemas.openxmlformats.org/officeDocument/2006/relationships/worksheet" Target="/xl/worksheets/sheet2.xml" Id="R44e8eaecf2fa455c" /><Relationship Type="http://schemas.openxmlformats.org/officeDocument/2006/relationships/worksheet" Target="/xl/worksheets/sheet3.xml" Id="Rd24fb40591154dbb" /><Relationship Type="http://schemas.openxmlformats.org/officeDocument/2006/relationships/worksheet" Target="/xl/worksheets/sheet4.xml" Id="Re73c2b9ead784822" /></Relationships>
</file>

<file path=xl/tables/table1.xml><?xml version="1.0" encoding="utf-8"?>
<x:table xmlns:x="http://schemas.openxmlformats.org/spreadsheetml/2006/main" id="1" name="OmegaRosterReady" displayName="OmegaRosterReady" ref="A1:J56" headerRowCount="1">
  <x:tableColumns count="10">
    <x:tableColumn id="1" name="م"/>
    <x:tableColumn id="2" name="الاسم"/>
    <x:tableColumn id="3" name="الوظيفة"/>
    <x:tableColumn id="4" name="بداية التعيين"/>
    <x:tableColumn id="5" name="job_code"/>
    <x:tableColumn id="6" name="review_status"/>
    <x:tableColumn id="7" name="expected_no"/>
    <x:tableColumn id="8" name="number_check"/>
    <x:tableColumn id="9" name="job_check"/>
    <x:tableColumn id="10" name="ملاحظات"/>
  </x:tableColumns>
  <x:tableStyleInfo name="TableStyleMedium2" showRowStripes="1"/>
</x:table>
</file>

<file path=xl/tables/table2.xml><?xml version="1.0" encoding="utf-8"?>
<x:table xmlns:x="http://schemas.openxmlformats.org/spreadsheetml/2006/main" id="2" name="OmegaRosterReview" displayName="OmegaRosterReview" ref="A1:G10" headerRowCount="1">
  <x:tableColumns count="7">
    <x:tableColumn id="1" name="م"/>
    <x:tableColumn id="2" name="الاسم"/>
    <x:tableColumn id="3" name="الوظيفة"/>
    <x:tableColumn id="4" name="بداية التعيين"/>
    <x:tableColumn id="5" name="job_code"/>
    <x:tableColumn id="6" name="review_status"/>
    <x:tableColumn id="7" name="سبب المراجعة"/>
  </x:tableColumns>
  <x:tableStyleInfo name="TableStyleMedium2" showRowStripes="1"/>
</x:table>
</file>

<file path=xl/tables/table3.xml><?xml version="1.0" encoding="utf-8"?>
<x:table xmlns:x="http://schemas.openxmlformats.org/spreadsheetml/2006/main" id="3" name="OmegaJobMapping" displayName="OmegaJobMapping" ref="A1:C25" headerRowCount="1">
  <x:tableColumns count="3">
    <x:tableColumn id="1" name="الوظيفة الأصلية"/>
    <x:tableColumn id="2" name="job_code"/>
    <x:tableColumn id="3" name="catego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34d8a1d64dd4cb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22e654c43849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516be4803a475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24" hidden="0" customWidth="1"/>
    <x:col min="4" max="4" width="16" hidden="0" customWidth="1"/>
    <x:col min="5" max="5" width="28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34" hidden="0" customWidth="1"/>
  </x:cols>
  <x:sheetData>
    <x:row r="1">
      <x:c r="A1" s="6" t="str">
        <x:v>م</x:v>
      </x:c>
      <x:c r="B1" s="6" t="str">
        <x:v>الاسم</x:v>
      </x:c>
      <x:c r="C1" s="6" t="str">
        <x:v>الوظيفة</x:v>
      </x:c>
      <x:c r="D1" s="6" t="str">
        <x:v>بداية التعيين</x:v>
      </x:c>
      <x:c r="E1" s="6" t="str">
        <x:v>job_code</x:v>
      </x:c>
      <x:c r="F1" s="6" t="str">
        <x:v>review_status</x:v>
      </x:c>
      <x:c r="G1" s="6" t="str">
        <x:v>expected_no</x:v>
      </x:c>
      <x:c r="H1" s="6" t="str">
        <x:v>number_check</x:v>
      </x:c>
      <x:c r="I1" s="6" t="str">
        <x:v>job_check</x:v>
      </x:c>
      <x:c r="J1" s="6" t="str">
        <x:v>ملاحظات</x:v>
      </x:c>
    </x:row>
    <x:row r="2">
      <x:c r="A2" s="12" t="n">
        <x:v>1</x:v>
      </x:c>
      <x:c r="B2" s="12" t="str">
        <x:v>محمد سعد حسين علي حجيشي</x:v>
      </x:c>
      <x:c r="C2" s="12" t="str">
        <x:v>مدير المشروعات</x:v>
      </x:c>
      <x:c r="D2" s="14" t="n">
        <x:v>45718</x:v>
      </x:c>
      <x:c r="E2" s="12" t="str">
        <x:v>HEAD_PROJECTS</x:v>
      </x:c>
      <x:c r="F2" s="12" t="str">
        <x:v>READY</x:v>
      </x:c>
      <x:c r="G2" s="12" t="n">
        <x:v>1</x:v>
      </x:c>
      <x:c r="H2" s="12" t="str">
        <x:f>IF(A2=G2,"OK","رقم غير مطابق")</x:f>
        <x:v>OK</x:v>
      </x:c>
      <x:c r="I2" s="12" t="str">
        <x:f>IF(E2&lt;&gt;"REVIEW","OK","منصب يحتاج Mapping")</x:f>
        <x:v>OK</x:v>
      </x:c>
      <x:c r="J2" s="12" t="str"/>
    </x:row>
    <x:row r="3">
      <x:c r="A3" s="12" t="n">
        <x:v>2</x:v>
      </x:c>
      <x:c r="B3" s="12" t="str">
        <x:v>محمد حسن خلاف</x:v>
      </x:c>
      <x:c r="C3" s="12" t="str">
        <x:v>مدير مشروع</x:v>
      </x:c>
      <x:c r="D3" s="14" t="n">
        <x:v>45850</x:v>
      </x:c>
      <x:c r="E3" s="12" t="str">
        <x:v>PROJECT_MANAGER</x:v>
      </x:c>
      <x:c r="F3" s="12" t="str">
        <x:v>READY</x:v>
      </x:c>
      <x:c r="G3" s="12" t="n">
        <x:v>2</x:v>
      </x:c>
      <x:c r="H3" s="12" t="str">
        <x:f>IF(A3=G3,"OK","رقم غير مطابق")</x:f>
        <x:v>OK</x:v>
      </x:c>
      <x:c r="I3" s="12" t="str">
        <x:f>IF(E3&lt;&gt;"REVIEW","OK","منصب يحتاج Mapping")</x:f>
        <x:v>OK</x:v>
      </x:c>
      <x:c r="J3" s="12" t="str"/>
    </x:row>
    <x:row r="4">
      <x:c r="A4" s="12" t="n">
        <x:v>3</x:v>
      </x:c>
      <x:c r="B4" s="12" t="str">
        <x:v>هاني محمد يوسف ابراهيم احمد</x:v>
      </x:c>
      <x:c r="C4" s="12" t="str">
        <x:v>مدير مكتب فني</x:v>
      </x:c>
      <x:c r="D4" s="14" t="n">
        <x:v>45829</x:v>
      </x:c>
      <x:c r="E4" s="12" t="str">
        <x:v>TECHNICAL_OFFICE_MANAGER</x:v>
      </x:c>
      <x:c r="F4" s="12" t="str">
        <x:v>READY</x:v>
      </x:c>
      <x:c r="G4" s="12" t="n">
        <x:v>3</x:v>
      </x:c>
      <x:c r="H4" s="12" t="str">
        <x:f>IF(A4=G4,"OK","رقم غير مطابق")</x:f>
        <x:v>OK</x:v>
      </x:c>
      <x:c r="I4" s="12" t="str">
        <x:f>IF(E4&lt;&gt;"REVIEW","OK","منصب يحتاج Mapping")</x:f>
        <x:v>OK</x:v>
      </x:c>
      <x:c r="J4" s="12" t="str"/>
    </x:row>
    <x:row r="5">
      <x:c r="A5" s="12" t="n">
        <x:v>4</x:v>
      </x:c>
      <x:c r="B5" s="12" t="str">
        <x:v>عمرو دياب علوي بدوي</x:v>
      </x:c>
      <x:c r="C5" s="12" t="str">
        <x:v>مدير جودة</x:v>
      </x:c>
      <x:c r="D5" s="14" t="n">
        <x:v>45809</x:v>
      </x:c>
      <x:c r="E5" s="12" t="str">
        <x:v>QUALITY_MANAGER</x:v>
      </x:c>
      <x:c r="F5" s="12" t="str">
        <x:v>READY</x:v>
      </x:c>
      <x:c r="G5" s="12" t="n">
        <x:v>4</x:v>
      </x:c>
      <x:c r="H5" s="12" t="str">
        <x:f>IF(A5=G5,"OK","رقم غير مطابق")</x:f>
        <x:v>OK</x:v>
      </x:c>
      <x:c r="I5" s="12" t="str">
        <x:f>IF(E5&lt;&gt;"REVIEW","OK","منصب يحتاج Mapping")</x:f>
        <x:v>OK</x:v>
      </x:c>
      <x:c r="J5" s="12" t="str"/>
    </x:row>
    <x:row r="6">
      <x:c r="A6" s="12" t="n">
        <x:v>5</x:v>
      </x:c>
      <x:c r="B6" s="12" t="str">
        <x:v>أحمد مصطفى مرسي الظاهر</x:v>
      </x:c>
      <x:c r="C6" s="12" t="str">
        <x:v>مهندس تنفيذ</x:v>
      </x:c>
      <x:c r="D6" s="14" t="n">
        <x:v>45762</x:v>
      </x:c>
      <x:c r="E6" s="12" t="str">
        <x:v>SITE_ENGINEER</x:v>
      </x:c>
      <x:c r="F6" s="12" t="str">
        <x:v>READY</x:v>
      </x:c>
      <x:c r="G6" s="12" t="n">
        <x:v>5</x:v>
      </x:c>
      <x:c r="H6" s="12" t="str">
        <x:f>IF(A6=G6,"OK","رقم غير مطابق")</x:f>
        <x:v>OK</x:v>
      </x:c>
      <x:c r="I6" s="12" t="str">
        <x:f>IF(E6&lt;&gt;"REVIEW","OK","منصب يحتاج Mapping")</x:f>
        <x:v>OK</x:v>
      </x:c>
      <x:c r="J6" s="12" t="str"/>
    </x:row>
    <x:row r="7">
      <x:c r="A7" s="12" t="n">
        <x:v>6</x:v>
      </x:c>
      <x:c r="B7" s="12" t="str">
        <x:v>عماد حمدي حزين</x:v>
      </x:c>
      <x:c r="C7" s="12" t="str">
        <x:v>مهندس تنفيذ</x:v>
      </x:c>
      <x:c r="D7" s="14" t="n">
        <x:v>45778</x:v>
      </x:c>
      <x:c r="E7" s="12" t="str">
        <x:v>SITE_ENGINEER</x:v>
      </x:c>
      <x:c r="F7" s="12" t="str">
        <x:v>READY</x:v>
      </x:c>
      <x:c r="G7" s="12" t="n">
        <x:v>6</x:v>
      </x:c>
      <x:c r="H7" s="12" t="str">
        <x:f>IF(A7=G7,"OK","رقم غير مطابق")</x:f>
        <x:v>OK</x:v>
      </x:c>
      <x:c r="I7" s="12" t="str">
        <x:f>IF(E7&lt;&gt;"REVIEW","OK","منصب يحتاج Mapping")</x:f>
        <x:v>OK</x:v>
      </x:c>
      <x:c r="J7" s="12" t="str"/>
    </x:row>
    <x:row r="8">
      <x:c r="A8" s="12" t="n">
        <x:v>7</x:v>
      </x:c>
      <x:c r="B8" s="12" t="str">
        <x:v>محمدعبدالرحمن عبد الفتاح</x:v>
      </x:c>
      <x:c r="C8" s="12" t="str">
        <x:v>مهندس تنفيذ</x:v>
      </x:c>
      <x:c r="D8" s="14" t="n">
        <x:v>45920</x:v>
      </x:c>
      <x:c r="E8" s="12" t="str">
        <x:v>SITE_ENGINEER</x:v>
      </x:c>
      <x:c r="F8" s="12" t="str">
        <x:v>REVIEW_TEXT</x:v>
      </x:c>
      <x:c r="G8" s="12" t="n">
        <x:v>7</x:v>
      </x:c>
      <x:c r="H8" s="12" t="str">
        <x:f>IF(A8=G8,"OK","رقم غير مطابق")</x:f>
        <x:v>OK</x:v>
      </x:c>
      <x:c r="I8" s="12" t="str">
        <x:f>IF(E8&lt;&gt;"REVIEW","OK","منصب يحتاج Mapping")</x:f>
        <x:v>OK</x:v>
      </x:c>
      <x:c r="J8" s="12" t="str">
        <x:v>راجع الاسم من الصورة قبل الإدخال النهائي</x:v>
      </x:c>
    </x:row>
    <x:row r="9">
      <x:c r="A9" s="12" t="n">
        <x:v>8</x:v>
      </x:c>
      <x:c r="B9" s="12" t="str">
        <x:v>محمد منصور عبد العزيز جادوا</x:v>
      </x:c>
      <x:c r="C9" s="12" t="str">
        <x:v>مهندس تنفيذ</x:v>
      </x:c>
      <x:c r="D9" s="14" t="n">
        <x:v>45762</x:v>
      </x:c>
      <x:c r="E9" s="12" t="str">
        <x:v>SITE_ENGINEER</x:v>
      </x:c>
      <x:c r="F9" s="12" t="str">
        <x:v>READY</x:v>
      </x:c>
      <x:c r="G9" s="12" t="n">
        <x:v>8</x:v>
      </x:c>
      <x:c r="H9" s="12" t="str">
        <x:f>IF(A9=G9,"OK","رقم غير مطابق")</x:f>
        <x:v>OK</x:v>
      </x:c>
      <x:c r="I9" s="12" t="str">
        <x:f>IF(E9&lt;&gt;"REVIEW","OK","منصب يحتاج Mapping")</x:f>
        <x:v>OK</x:v>
      </x:c>
      <x:c r="J9" s="12" t="str"/>
    </x:row>
    <x:row r="10">
      <x:c r="A10" s="12" t="n">
        <x:v>9</x:v>
      </x:c>
      <x:c r="B10" s="12" t="str">
        <x:v>محمد عبد الوهاب حنفي</x:v>
      </x:c>
      <x:c r="C10" s="12" t="str">
        <x:v>مهندس تنفيذ</x:v>
      </x:c>
      <x:c r="D10" s="14" t="n">
        <x:v>46004</x:v>
      </x:c>
      <x:c r="E10" s="12" t="str">
        <x:v>SITE_ENGINEER</x:v>
      </x:c>
      <x:c r="F10" s="12" t="str">
        <x:v>READY</x:v>
      </x:c>
      <x:c r="G10" s="12" t="n">
        <x:v>9</x:v>
      </x:c>
      <x:c r="H10" s="12" t="str">
        <x:f>IF(A10=G10,"OK","رقم غير مطابق")</x:f>
        <x:v>OK</x:v>
      </x:c>
      <x:c r="I10" s="12" t="str">
        <x:f>IF(E10&lt;&gt;"REVIEW","OK","منصب يحتاج Mapping")</x:f>
        <x:v>OK</x:v>
      </x:c>
      <x:c r="J10" s="12" t="str"/>
    </x:row>
    <x:row r="11">
      <x:c r="A11" s="12" t="n">
        <x:v>10</x:v>
      </x:c>
      <x:c r="B11" s="12" t="str">
        <x:v>معتز سنائي محمد احمد الوقفي</x:v>
      </x:c>
      <x:c r="C11" s="12" t="str">
        <x:v>مهندس تنفيذ</x:v>
      </x:c>
      <x:c r="D11" s="14" t="n">
        <x:v>45762</x:v>
      </x:c>
      <x:c r="E11" s="12" t="str">
        <x:v>SITE_ENGINEER</x:v>
      </x:c>
      <x:c r="F11" s="12" t="str">
        <x:v>REVIEW_TEXT</x:v>
      </x:c>
      <x:c r="G11" s="12" t="n">
        <x:v>10</x:v>
      </x:c>
      <x:c r="H11" s="12" t="str">
        <x:f>IF(A11=G11,"OK","رقم غير مطابق")</x:f>
        <x:v>OK</x:v>
      </x:c>
      <x:c r="I11" s="12" t="str">
        <x:f>IF(E11&lt;&gt;"REVIEW","OK","منصب يحتاج Mapping")</x:f>
        <x:v>OK</x:v>
      </x:c>
      <x:c r="J11" s="12" t="str">
        <x:v>راجع الاسم من الصورة قبل الإدخال النهائي</x:v>
      </x:c>
    </x:row>
    <x:row r="12">
      <x:c r="A12" s="12" t="n">
        <x:v>11</x:v>
      </x:c>
      <x:c r="B12" s="12" t="str">
        <x:v>محمد نبيل عبد الباري الجندي</x:v>
      </x:c>
      <x:c r="C12" s="12" t="str">
        <x:v>مهندس تنفيذ</x:v>
      </x:c>
      <x:c r="D12" s="14" t="n">
        <x:v>45778</x:v>
      </x:c>
      <x:c r="E12" s="12" t="str">
        <x:v>SITE_ENGINEER</x:v>
      </x:c>
      <x:c r="F12" s="12" t="str">
        <x:v>READY</x:v>
      </x:c>
      <x:c r="G12" s="12" t="n">
        <x:v>11</x:v>
      </x:c>
      <x:c r="H12" s="12" t="str">
        <x:f>IF(A12=G12,"OK","رقم غير مطابق")</x:f>
        <x:v>OK</x:v>
      </x:c>
      <x:c r="I12" s="12" t="str">
        <x:f>IF(E12&lt;&gt;"REVIEW","OK","منصب يحتاج Mapping")</x:f>
        <x:v>OK</x:v>
      </x:c>
      <x:c r="J12" s="12" t="str"/>
    </x:row>
    <x:row r="13">
      <x:c r="A13" s="12" t="n">
        <x:v>12</x:v>
      </x:c>
      <x:c r="B13" s="12" t="str">
        <x:v>أحمد السيد عمري محمد</x:v>
      </x:c>
      <x:c r="C13" s="12" t="str">
        <x:v>مهندس تنفيذ</x:v>
      </x:c>
      <x:c r="D13" s="14" t="n">
        <x:v>45778</x:v>
      </x:c>
      <x:c r="E13" s="12" t="str">
        <x:v>SITE_ENGINEER</x:v>
      </x:c>
      <x:c r="F13" s="12" t="str">
        <x:v>READY</x:v>
      </x:c>
      <x:c r="G13" s="12" t="n">
        <x:v>12</x:v>
      </x:c>
      <x:c r="H13" s="12" t="str">
        <x:f>IF(A13=G13,"OK","رقم غير مطابق")</x:f>
        <x:v>OK</x:v>
      </x:c>
      <x:c r="I13" s="12" t="str">
        <x:f>IF(E13&lt;&gt;"REVIEW","OK","منصب يحتاج Mapping")</x:f>
        <x:v>OK</x:v>
      </x:c>
      <x:c r="J13" s="12" t="str"/>
    </x:row>
    <x:row r="14">
      <x:c r="A14" s="12" t="n">
        <x:v>13</x:v>
      </x:c>
      <x:c r="B14" s="12" t="str">
        <x:v>عبد الرحمن يسري السيد الفيشاوي</x:v>
      </x:c>
      <x:c r="C14" s="12" t="str">
        <x:v>مهندس تنفيذ</x:v>
      </x:c>
      <x:c r="D14" s="14" t="n">
        <x:v>45778</x:v>
      </x:c>
      <x:c r="E14" s="12" t="str">
        <x:v>SITE_ENGINEER</x:v>
      </x:c>
      <x:c r="F14" s="12" t="str">
        <x:v>READY</x:v>
      </x:c>
      <x:c r="G14" s="12" t="n">
        <x:v>13</x:v>
      </x:c>
      <x:c r="H14" s="12" t="str">
        <x:f>IF(A14=G14,"OK","رقم غير مطابق")</x:f>
        <x:v>OK</x:v>
      </x:c>
      <x:c r="I14" s="12" t="str">
        <x:f>IF(E14&lt;&gt;"REVIEW","OK","منصب يحتاج Mapping")</x:f>
        <x:v>OK</x:v>
      </x:c>
      <x:c r="J14" s="12" t="str"/>
    </x:row>
    <x:row r="15">
      <x:c r="A15" s="12" t="n">
        <x:v>14</x:v>
      </x:c>
      <x:c r="B15" s="12" t="str">
        <x:v>كريم حسن رمضان محمد</x:v>
      </x:c>
      <x:c r="C15" s="12" t="str">
        <x:v>مشرف تنفيذ</x:v>
      </x:c>
      <x:c r="D15" s="14" t="n">
        <x:v>45762</x:v>
      </x:c>
      <x:c r="E15" s="12" t="str">
        <x:v>SITE_SUPERVISOR</x:v>
      </x:c>
      <x:c r="F15" s="12" t="str">
        <x:v>READY</x:v>
      </x:c>
      <x:c r="G15" s="12" t="n">
        <x:v>14</x:v>
      </x:c>
      <x:c r="H15" s="12" t="str">
        <x:f>IF(A15=G15,"OK","رقم غير مطابق")</x:f>
        <x:v>OK</x:v>
      </x:c>
      <x:c r="I15" s="12" t="str">
        <x:f>IF(E15&lt;&gt;"REVIEW","OK","منصب يحتاج Mapping")</x:f>
        <x:v>OK</x:v>
      </x:c>
      <x:c r="J15" s="12" t="str"/>
    </x:row>
    <x:row r="16">
      <x:c r="A16" s="12" t="n">
        <x:v>15</x:v>
      </x:c>
      <x:c r="B16" s="12" t="str">
        <x:v>أحمد عبد المقصود حسينين إبراهيم</x:v>
      </x:c>
      <x:c r="C16" s="12" t="str">
        <x:v>مشرف تنفيذ</x:v>
      </x:c>
      <x:c r="D16" s="14" t="n">
        <x:v>45829</x:v>
      </x:c>
      <x:c r="E16" s="12" t="str">
        <x:v>SITE_SUPERVISOR</x:v>
      </x:c>
      <x:c r="F16" s="12" t="str">
        <x:v>REVIEW_TEXT</x:v>
      </x:c>
      <x:c r="G16" s="12" t="n">
        <x:v>15</x:v>
      </x:c>
      <x:c r="H16" s="12" t="str">
        <x:f>IF(A16=G16,"OK","رقم غير مطابق")</x:f>
        <x:v>OK</x:v>
      </x:c>
      <x:c r="I16" s="12" t="str">
        <x:f>IF(E16&lt;&gt;"REVIEW","OK","منصب يحتاج Mapping")</x:f>
        <x:v>OK</x:v>
      </x:c>
      <x:c r="J16" s="12" t="str">
        <x:v>راجع الاسم من الصورة قبل الإدخال النهائي</x:v>
      </x:c>
    </x:row>
    <x:row r="17">
      <x:c r="A17" s="12" t="n">
        <x:v>16</x:v>
      </x:c>
      <x:c r="B17" s="12" t="str">
        <x:v>بسيوني محمد محمود قطوش</x:v>
      </x:c>
      <x:c r="C17" s="12" t="str">
        <x:v>مشرف تنفيذ</x:v>
      </x:c>
      <x:c r="D17" s="14" t="n">
        <x:v>45830</x:v>
      </x:c>
      <x:c r="E17" s="12" t="str">
        <x:v>SITE_SUPERVISOR</x:v>
      </x:c>
      <x:c r="F17" s="12" t="str">
        <x:v>READY</x:v>
      </x:c>
      <x:c r="G17" s="12" t="n">
        <x:v>16</x:v>
      </x:c>
      <x:c r="H17" s="12" t="str">
        <x:f>IF(A17=G17,"OK","رقم غير مطابق")</x:f>
        <x:v>OK</x:v>
      </x:c>
      <x:c r="I17" s="12" t="str">
        <x:f>IF(E17&lt;&gt;"REVIEW","OK","منصب يحتاج Mapping")</x:f>
        <x:v>OK</x:v>
      </x:c>
      <x:c r="J17" s="12" t="str"/>
    </x:row>
    <x:row r="18">
      <x:c r="A18" s="12" t="n">
        <x:v>17</x:v>
      </x:c>
      <x:c r="B18" s="12" t="str">
        <x:v>مصطفى عمر عبدالعال عمر</x:v>
      </x:c>
      <x:c r="C18" s="12" t="str">
        <x:v>مشرف تنفيذ</x:v>
      </x:c>
      <x:c r="D18" s="14" t="n">
        <x:v>45878</x:v>
      </x:c>
      <x:c r="E18" s="12" t="str">
        <x:v>SITE_SUPERVISOR</x:v>
      </x:c>
      <x:c r="F18" s="12" t="str">
        <x:v>READY</x:v>
      </x:c>
      <x:c r="G18" s="12" t="n">
        <x:v>17</x:v>
      </x:c>
      <x:c r="H18" s="12" t="str">
        <x:f>IF(A18=G18,"OK","رقم غير مطابق")</x:f>
        <x:v>OK</x:v>
      </x:c>
      <x:c r="I18" s="12" t="str">
        <x:f>IF(E18&lt;&gt;"REVIEW","OK","منصب يحتاج Mapping")</x:f>
        <x:v>OK</x:v>
      </x:c>
      <x:c r="J18" s="12" t="str"/>
    </x:row>
    <x:row r="19">
      <x:c r="A19" s="12" t="n">
        <x:v>18</x:v>
      </x:c>
      <x:c r="B19" s="12" t="str">
        <x:v>محمد عبد الباسط محمد</x:v>
      </x:c>
      <x:c r="C19" s="12" t="str">
        <x:v>مشرف تنفيذ</x:v>
      </x:c>
      <x:c r="D19" s="14" t="n">
        <x:v>45976</x:v>
      </x:c>
      <x:c r="E19" s="12" t="str">
        <x:v>SITE_SUPERVISOR</x:v>
      </x:c>
      <x:c r="F19" s="12" t="str">
        <x:v>READY</x:v>
      </x:c>
      <x:c r="G19" s="12" t="n">
        <x:v>18</x:v>
      </x:c>
      <x:c r="H19" s="12" t="str">
        <x:f>IF(A19=G19,"OK","رقم غير مطابق")</x:f>
        <x:v>OK</x:v>
      </x:c>
      <x:c r="I19" s="12" t="str">
        <x:f>IF(E19&lt;&gt;"REVIEW","OK","منصب يحتاج Mapping")</x:f>
        <x:v>OK</x:v>
      </x:c>
      <x:c r="J19" s="12" t="str"/>
    </x:row>
    <x:row r="20">
      <x:c r="A20" s="12" t="n">
        <x:v>19</x:v>
      </x:c>
      <x:c r="B20" s="12" t="str">
        <x:v>رضا احمد عبد الحميد حسن</x:v>
      </x:c>
      <x:c r="C20" s="12" t="str">
        <x:v>مشرف كهرباء</x:v>
      </x:c>
      <x:c r="D20" s="14" t="n">
        <x:v>45762</x:v>
      </x:c>
      <x:c r="E20" s="12" t="str">
        <x:v>ELECTRICAL_SUPERVISOR</x:v>
      </x:c>
      <x:c r="F20" s="12" t="str">
        <x:v>READY</x:v>
      </x:c>
      <x:c r="G20" s="12" t="n">
        <x:v>19</x:v>
      </x:c>
      <x:c r="H20" s="12" t="str">
        <x:f>IF(A20=G20,"OK","رقم غير مطابق")</x:f>
        <x:v>OK</x:v>
      </x:c>
      <x:c r="I20" s="12" t="str">
        <x:f>IF(E20&lt;&gt;"REVIEW","OK","منصب يحتاج Mapping")</x:f>
        <x:v>OK</x:v>
      </x:c>
      <x:c r="J20" s="12" t="str"/>
    </x:row>
    <x:row r="21">
      <x:c r="A21" s="12" t="n">
        <x:v>20</x:v>
      </x:c>
      <x:c r="B21" s="12" t="str">
        <x:v>محمد حمدى عبدالله علام</x:v>
      </x:c>
      <x:c r="C21" s="12" t="str">
        <x:v>مهندس مكتب فني</x:v>
      </x:c>
      <x:c r="D21" s="14" t="n">
        <x:v>45762</x:v>
      </x:c>
      <x:c r="E21" s="12" t="str">
        <x:v>TECHNICAL_OFFICE_ENGINEER</x:v>
      </x:c>
      <x:c r="F21" s="12" t="str">
        <x:v>READY</x:v>
      </x:c>
      <x:c r="G21" s="12" t="n">
        <x:v>20</x:v>
      </x:c>
      <x:c r="H21" s="12" t="str">
        <x:f>IF(A21=G21,"OK","رقم غير مطابق")</x:f>
        <x:v>OK</x:v>
      </x:c>
      <x:c r="I21" s="12" t="str">
        <x:f>IF(E21&lt;&gt;"REVIEW","OK","منصب يحتاج Mapping")</x:f>
        <x:v>OK</x:v>
      </x:c>
      <x:c r="J21" s="12" t="str"/>
    </x:row>
    <x:row r="22">
      <x:c r="A22" s="12" t="n">
        <x:v>21</x:v>
      </x:c>
      <x:c r="B22" s="12" t="str">
        <x:v>أحمد نصر خطاب طاحه</x:v>
      </x:c>
      <x:c r="C22" s="12" t="str">
        <x:v>مهندس مكتب فني</x:v>
      </x:c>
      <x:c r="D22" s="14" t="n">
        <x:v>45762</x:v>
      </x:c>
      <x:c r="E22" s="12" t="str">
        <x:v>TECHNICAL_OFFICE_ENGINEER</x:v>
      </x:c>
      <x:c r="F22" s="12" t="str">
        <x:v>REVIEW_TEXT</x:v>
      </x:c>
      <x:c r="G22" s="12" t="n">
        <x:v>21</x:v>
      </x:c>
      <x:c r="H22" s="12" t="str">
        <x:f>IF(A22=G22,"OK","رقم غير مطابق")</x:f>
        <x:v>OK</x:v>
      </x:c>
      <x:c r="I22" s="12" t="str">
        <x:f>IF(E22&lt;&gt;"REVIEW","OK","منصب يحتاج Mapping")</x:f>
        <x:v>OK</x:v>
      </x:c>
      <x:c r="J22" s="12" t="str">
        <x:v>راجع الاسم من الصورة قبل الإدخال النهائي</x:v>
      </x:c>
    </x:row>
    <x:row r="23">
      <x:c r="A23" s="12" t="n">
        <x:v>22</x:v>
      </x:c>
      <x:c r="B23" s="12" t="str">
        <x:v>أحمد عبد المنعم أحمد قنديل</x:v>
      </x:c>
      <x:c r="C23" s="12" t="str">
        <x:v>مهندس مكتب فني</x:v>
      </x:c>
      <x:c r="D23" s="14" t="n">
        <x:v>45762</x:v>
      </x:c>
      <x:c r="E23" s="12" t="str">
        <x:v>TECHNICAL_OFFICE_ENGINEER</x:v>
      </x:c>
      <x:c r="F23" s="12" t="str">
        <x:v>READY</x:v>
      </x:c>
      <x:c r="G23" s="12" t="n">
        <x:v>22</x:v>
      </x:c>
      <x:c r="H23" s="12" t="str">
        <x:f>IF(A23=G23,"OK","رقم غير مطابق")</x:f>
        <x:v>OK</x:v>
      </x:c>
      <x:c r="I23" s="12" t="str">
        <x:f>IF(E23&lt;&gt;"REVIEW","OK","منصب يحتاج Mapping")</x:f>
        <x:v>OK</x:v>
      </x:c>
      <x:c r="J23" s="12" t="str"/>
    </x:row>
    <x:row r="24">
      <x:c r="A24" s="12" t="n">
        <x:v>23</x:v>
      </x:c>
      <x:c r="B24" s="12" t="str">
        <x:v>صلاح جابر عبد الحليم عبد الحفيظ</x:v>
      </x:c>
      <x:c r="C24" s="12" t="str">
        <x:v>مهندس مكتب فني</x:v>
      </x:c>
      <x:c r="D24" s="14" t="n">
        <x:v>45833</x:v>
      </x:c>
      <x:c r="E24" s="12" t="str">
        <x:v>TECHNICAL_OFFICE_ENGINEER</x:v>
      </x:c>
      <x:c r="F24" s="12" t="str">
        <x:v>READY</x:v>
      </x:c>
      <x:c r="G24" s="12" t="n">
        <x:v>23</x:v>
      </x:c>
      <x:c r="H24" s="12" t="str">
        <x:f>IF(A24=G24,"OK","رقم غير مطابق")</x:f>
        <x:v>OK</x:v>
      </x:c>
      <x:c r="I24" s="12" t="str">
        <x:f>IF(E24&lt;&gt;"REVIEW","OK","منصب يحتاج Mapping")</x:f>
        <x:v>OK</x:v>
      </x:c>
      <x:c r="J24" s="12" t="str"/>
    </x:row>
    <x:row r="25">
      <x:c r="A25" s="12" t="n">
        <x:v>24</x:v>
      </x:c>
      <x:c r="B25" s="12" t="str">
        <x:v>عبد الرحمن أحمد مصليح</x:v>
      </x:c>
      <x:c r="C25" s="12" t="str">
        <x:v>مهندس مكتب فني</x:v>
      </x:c>
      <x:c r="D25" s="14" t="n">
        <x:v>45969</x:v>
      </x:c>
      <x:c r="E25" s="12" t="str">
        <x:v>TECHNICAL_OFFICE_ENGINEER</x:v>
      </x:c>
      <x:c r="F25" s="12" t="str">
        <x:v>REVIEW_TEXT</x:v>
      </x:c>
      <x:c r="G25" s="12" t="n">
        <x:v>24</x:v>
      </x:c>
      <x:c r="H25" s="12" t="str">
        <x:f>IF(A25=G25,"OK","رقم غير مطابق")</x:f>
        <x:v>OK</x:v>
      </x:c>
      <x:c r="I25" s="12" t="str">
        <x:f>IF(E25&lt;&gt;"REVIEW","OK","منصب يحتاج Mapping")</x:f>
        <x:v>OK</x:v>
      </x:c>
      <x:c r="J25" s="12" t="str">
        <x:v>راجع الاسم من الصورة قبل الإدخال النهائي</x:v>
      </x:c>
    </x:row>
    <x:row r="26">
      <x:c r="A26" s="12" t="n">
        <x:v>25</x:v>
      </x:c>
      <x:c r="B26" s="12" t="str">
        <x:v>محمد صفوت صفوت صفوت</x:v>
      </x:c>
      <x:c r="C26" s="12" t="str">
        <x:v>مهندس مكتب فني</x:v>
      </x:c>
      <x:c r="D26" s="14" t="n">
        <x:v>46004</x:v>
      </x:c>
      <x:c r="E26" s="12" t="str">
        <x:v>TECHNICAL_OFFICE_ENGINEER</x:v>
      </x:c>
      <x:c r="F26" s="12" t="str">
        <x:v>REVIEW_TEXT</x:v>
      </x:c>
      <x:c r="G26" s="12" t="n">
        <x:v>25</x:v>
      </x:c>
      <x:c r="H26" s="12" t="str">
        <x:f>IF(A26=G26,"OK","رقم غير مطابق")</x:f>
        <x:v>OK</x:v>
      </x:c>
      <x:c r="I26" s="12" t="str">
        <x:f>IF(E26&lt;&gt;"REVIEW","OK","منصب يحتاج Mapping")</x:f>
        <x:v>OK</x:v>
      </x:c>
      <x:c r="J26" s="12" t="str">
        <x:v>راجع الاسم من الصورة قبل الإدخال النهائي</x:v>
      </x:c>
    </x:row>
    <x:row r="27">
      <x:c r="A27" s="12" t="n">
        <x:v>26</x:v>
      </x:c>
      <x:c r="B27" s="12" t="str">
        <x:v>عبد الله عزت بدوي</x:v>
      </x:c>
      <x:c r="C27" s="12" t="str">
        <x:v>مهندس جودة</x:v>
      </x:c>
      <x:c r="D27" s="14" t="n">
        <x:v>45991</x:v>
      </x:c>
      <x:c r="E27" s="12" t="str">
        <x:v>QUALITY_ENGINEER</x:v>
      </x:c>
      <x:c r="F27" s="12" t="str">
        <x:v>READY</x:v>
      </x:c>
      <x:c r="G27" s="12" t="n">
        <x:v>26</x:v>
      </x:c>
      <x:c r="H27" s="12" t="str">
        <x:f>IF(A27=G27,"OK","رقم غير مطابق")</x:f>
        <x:v>OK</x:v>
      </x:c>
      <x:c r="I27" s="12" t="str">
        <x:f>IF(E27&lt;&gt;"REVIEW","OK","منصب يحتاج Mapping")</x:f>
        <x:v>OK</x:v>
      </x:c>
      <x:c r="J27" s="12" t="str"/>
    </x:row>
    <x:row r="28">
      <x:c r="A28" s="12" t="n">
        <x:v>27</x:v>
      </x:c>
      <x:c r="B28" s="12" t="str">
        <x:v>محمد راضي يوسف</x:v>
      </x:c>
      <x:c r="C28" s="12" t="str">
        <x:v>مهندس جودة</x:v>
      </x:c>
      <x:c r="D28" s="14" t="n">
        <x:v>45931</x:v>
      </x:c>
      <x:c r="E28" s="12" t="str">
        <x:v>QUALITY_ENGINEER</x:v>
      </x:c>
      <x:c r="F28" s="12" t="str">
        <x:v>READY</x:v>
      </x:c>
      <x:c r="G28" s="12" t="n">
        <x:v>27</x:v>
      </x:c>
      <x:c r="H28" s="12" t="str">
        <x:f>IF(A28=G28,"OK","رقم غير مطابق")</x:f>
        <x:v>OK</x:v>
      </x:c>
      <x:c r="I28" s="12" t="str">
        <x:f>IF(E28&lt;&gt;"REVIEW","OK","منصب يحتاج Mapping")</x:f>
        <x:v>OK</x:v>
      </x:c>
      <x:c r="J28" s="12" t="str"/>
    </x:row>
    <x:row r="29">
      <x:c r="A29" s="12" t="n">
        <x:v>28</x:v>
      </x:c>
      <x:c r="B29" s="12" t="str">
        <x:v>إسلام أمين محمد عوض الله</x:v>
      </x:c>
      <x:c r="C29" s="12" t="str">
        <x:v>منسق وثائق أول</x:v>
      </x:c>
      <x:c r="D29" s="14" t="n">
        <x:v>45762</x:v>
      </x:c>
      <x:c r="E29" s="12" t="str">
        <x:v>SENIOR_DOCUMENT_CONTROLLER</x:v>
      </x:c>
      <x:c r="F29" s="12" t="str">
        <x:v>READY</x:v>
      </x:c>
      <x:c r="G29" s="12" t="n">
        <x:v>28</x:v>
      </x:c>
      <x:c r="H29" s="12" t="str">
        <x:f>IF(A29=G29,"OK","رقم غير مطابق")</x:f>
        <x:v>OK</x:v>
      </x:c>
      <x:c r="I29" s="12" t="str">
        <x:f>IF(E29&lt;&gt;"REVIEW","OK","منصب يحتاج Mapping")</x:f>
        <x:v>OK</x:v>
      </x:c>
      <x:c r="J29" s="12" t="str"/>
    </x:row>
    <x:row r="30">
      <x:c r="A30" s="12" t="n">
        <x:v>29</x:v>
      </x:c>
      <x:c r="B30" s="12" t="str">
        <x:v>هاشم خالد هاشم عبدالعزيز</x:v>
      </x:c>
      <x:c r="C30" s="12" t="str">
        <x:v>منسق وثائق</x:v>
      </x:c>
      <x:c r="D30" s="14" t="n">
        <x:v>45762</x:v>
      </x:c>
      <x:c r="E30" s="12" t="str">
        <x:v>DOCUMENT_CONTROLLER</x:v>
      </x:c>
      <x:c r="F30" s="12" t="str">
        <x:v>READY</x:v>
      </x:c>
      <x:c r="G30" s="12" t="n">
        <x:v>29</x:v>
      </x:c>
      <x:c r="H30" s="12" t="str">
        <x:f>IF(A30=G30,"OK","رقم غير مطابق")</x:f>
        <x:v>OK</x:v>
      </x:c>
      <x:c r="I30" s="12" t="str">
        <x:f>IF(E30&lt;&gt;"REVIEW","OK","منصب يحتاج Mapping")</x:f>
        <x:v>OK</x:v>
      </x:c>
      <x:c r="J30" s="12" t="str"/>
    </x:row>
    <x:row r="31">
      <x:c r="A31" s="12" t="n">
        <x:v>30</x:v>
      </x:c>
      <x:c r="B31" s="12" t="str">
        <x:v>أحمد محمد إحسان</x:v>
      </x:c>
      <x:c r="C31" s="12" t="str">
        <x:v>محاسب أول</x:v>
      </x:c>
      <x:c r="D31" s="14" t="n">
        <x:v>45902</x:v>
      </x:c>
      <x:c r="E31" s="12" t="str">
        <x:v>SENIOR_ACCOUNTANT</x:v>
      </x:c>
      <x:c r="F31" s="12" t="str">
        <x:v>READY</x:v>
      </x:c>
      <x:c r="G31" s="12" t="n">
        <x:v>30</x:v>
      </x:c>
      <x:c r="H31" s="12" t="str">
        <x:f>IF(A31=G31,"OK","رقم غير مطابق")</x:f>
        <x:v>OK</x:v>
      </x:c>
      <x:c r="I31" s="12" t="str">
        <x:f>IF(E31&lt;&gt;"REVIEW","OK","منصب يحتاج Mapping")</x:f>
        <x:v>OK</x:v>
      </x:c>
      <x:c r="J31" s="12" t="str"/>
    </x:row>
    <x:row r="32">
      <x:c r="A32" s="12" t="n">
        <x:v>31</x:v>
      </x:c>
      <x:c r="B32" s="12" t="str">
        <x:v>محمد أسامه يوسف</x:v>
      </x:c>
      <x:c r="C32" s="12" t="str">
        <x:v>محاسب أول</x:v>
      </x:c>
      <x:c r="D32" s="14" t="n">
        <x:v>45766</x:v>
      </x:c>
      <x:c r="E32" s="12" t="str">
        <x:v>SENIOR_ACCOUNTANT</x:v>
      </x:c>
      <x:c r="F32" s="12" t="str">
        <x:v>READY</x:v>
      </x:c>
      <x:c r="G32" s="12" t="n">
        <x:v>31</x:v>
      </x:c>
      <x:c r="H32" s="12" t="str">
        <x:f>IF(A32=G32,"OK","رقم غير مطابق")</x:f>
        <x:v>OK</x:v>
      </x:c>
      <x:c r="I32" s="12" t="str">
        <x:f>IF(E32&lt;&gt;"REVIEW","OK","منصب يحتاج Mapping")</x:f>
        <x:v>OK</x:v>
      </x:c>
      <x:c r="J32" s="12" t="str"/>
    </x:row>
    <x:row r="33">
      <x:c r="A33" s="12" t="n">
        <x:v>32</x:v>
      </x:c>
      <x:c r="B33" s="12" t="str">
        <x:v>نادري محمد مصطفى حسن</x:v>
      </x:c>
      <x:c r="C33" s="12" t="str">
        <x:v>محاسب أول</x:v>
      </x:c>
      <x:c r="D33" s="14" t="n">
        <x:v>45824</x:v>
      </x:c>
      <x:c r="E33" s="12" t="str">
        <x:v>SENIOR_ACCOUNTANT</x:v>
      </x:c>
      <x:c r="F33" s="12" t="str">
        <x:v>READY</x:v>
      </x:c>
      <x:c r="G33" s="12" t="n">
        <x:v>32</x:v>
      </x:c>
      <x:c r="H33" s="12" t="str">
        <x:f>IF(A33=G33,"OK","رقم غير مطابق")</x:f>
        <x:v>OK</x:v>
      </x:c>
      <x:c r="I33" s="12" t="str">
        <x:f>IF(E33&lt;&gt;"REVIEW","OK","منصب يحتاج Mapping")</x:f>
        <x:v>OK</x:v>
      </x:c>
      <x:c r="J33" s="12" t="str"/>
    </x:row>
    <x:row r="34">
      <x:c r="A34" s="12" t="n">
        <x:v>33</x:v>
      </x:c>
      <x:c r="B34" s="12" t="str">
        <x:v>محمود أحمد السيد عوضان</x:v>
      </x:c>
      <x:c r="C34" s="12" t="str">
        <x:v>مشرف مشتريات</x:v>
      </x:c>
      <x:c r="D34" s="14" t="n">
        <x:v>45766</x:v>
      </x:c>
      <x:c r="E34" s="12" t="str">
        <x:v>PURCHASING_SUPERVISOR</x:v>
      </x:c>
      <x:c r="F34" s="12" t="str">
        <x:v>READY</x:v>
      </x:c>
      <x:c r="G34" s="12" t="n">
        <x:v>33</x:v>
      </x:c>
      <x:c r="H34" s="12" t="str">
        <x:f>IF(A34=G34,"OK","رقم غير مطابق")</x:f>
        <x:v>OK</x:v>
      </x:c>
      <x:c r="I34" s="12" t="str">
        <x:f>IF(E34&lt;&gt;"REVIEW","OK","منصب يحتاج Mapping")</x:f>
        <x:v>OK</x:v>
      </x:c>
      <x:c r="J34" s="12" t="str"/>
    </x:row>
    <x:row r="35">
      <x:c r="A35" s="12" t="n">
        <x:v>34</x:v>
      </x:c>
      <x:c r="B35" s="12" t="str">
        <x:v>بلال عاطف أبو الفتوح محمد</x:v>
      </x:c>
      <x:c r="C35" s="12" t="str">
        <x:v>مشرف شؤون إدارية</x:v>
      </x:c>
      <x:c r="D35" s="14" t="n">
        <x:v>45773</x:v>
      </x:c>
      <x:c r="E35" s="12" t="str">
        <x:v>ADMIN_AFFAIRS_SUPERVISOR</x:v>
      </x:c>
      <x:c r="F35" s="12" t="str">
        <x:v>READY</x:v>
      </x:c>
      <x:c r="G35" s="12" t="n">
        <x:v>34</x:v>
      </x:c>
      <x:c r="H35" s="12" t="str">
        <x:f>IF(A35=G35,"OK","رقم غير مطابق")</x:f>
        <x:v>OK</x:v>
      </x:c>
      <x:c r="I35" s="12" t="str">
        <x:f>IF(E35&lt;&gt;"REVIEW","OK","منصب يحتاج Mapping")</x:f>
        <x:v>OK</x:v>
      </x:c>
      <x:c r="J35" s="12" t="str"/>
    </x:row>
    <x:row r="36">
      <x:c r="A36" s="12" t="n">
        <x:v>35</x:v>
      </x:c>
      <x:c r="B36" s="12" t="str">
        <x:v>محمود حمدي فتحي محمود</x:v>
      </x:c>
      <x:c r="C36" s="12" t="str">
        <x:v>اخصائي شؤون إدارية</x:v>
      </x:c>
      <x:c r="D36" s="14" t="n">
        <x:v>45885</x:v>
      </x:c>
      <x:c r="E36" s="12" t="str">
        <x:v>ADMIN_AFFAIRS_SPECIALIST</x:v>
      </x:c>
      <x:c r="F36" s="12" t="str">
        <x:v>REVIEW_TEXT</x:v>
      </x:c>
      <x:c r="G36" s="12" t="n">
        <x:v>35</x:v>
      </x:c>
      <x:c r="H36" s="12" t="str">
        <x:f>IF(A36=G36,"OK","رقم غير مطابق")</x:f>
        <x:v>OK</x:v>
      </x:c>
      <x:c r="I36" s="12" t="str">
        <x:f>IF(E36&lt;&gt;"REVIEW","OK","منصب يحتاج Mapping")</x:f>
        <x:v>OK</x:v>
      </x:c>
      <x:c r="J36" s="12" t="str">
        <x:v>راجع الاسم من الصورة قبل الإدخال النهائي</x:v>
      </x:c>
    </x:row>
    <x:row r="37">
      <x:c r="A37" s="12" t="n">
        <x:v>36</x:v>
      </x:c>
      <x:c r="B37" s="12" t="str">
        <x:v>محمد سعد عبد المعطي أبو الليف</x:v>
      </x:c>
      <x:c r="C37" s="12" t="str">
        <x:v>أمين مخزن</x:v>
      </x:c>
      <x:c r="D37" s="14" t="n">
        <x:v>45762</x:v>
      </x:c>
      <x:c r="E37" s="12" t="str">
        <x:v>STOREKEEPER</x:v>
      </x:c>
      <x:c r="F37" s="12" t="str">
        <x:v>READY</x:v>
      </x:c>
      <x:c r="G37" s="12" t="n">
        <x:v>36</x:v>
      </x:c>
      <x:c r="H37" s="12" t="str">
        <x:f>IF(A37=G37,"OK","رقم غير مطابق")</x:f>
        <x:v>OK</x:v>
      </x:c>
      <x:c r="I37" s="12" t="str">
        <x:f>IF(E37&lt;&gt;"REVIEW","OK","منصب يحتاج Mapping")</x:f>
        <x:v>OK</x:v>
      </x:c>
      <x:c r="J37" s="12" t="str"/>
    </x:row>
    <x:row r="38">
      <x:c r="A38" s="12" t="n">
        <x:v>37</x:v>
      </x:c>
      <x:c r="B38" s="12" t="str">
        <x:v>أحمد ناصر حسن ناصر</x:v>
      </x:c>
      <x:c r="C38" s="12" t="str">
        <x:v>أمين مخزن</x:v>
      </x:c>
      <x:c r="D38" s="14" t="n">
        <x:v>45784</x:v>
      </x:c>
      <x:c r="E38" s="12" t="str">
        <x:v>STOREKEEPER</x:v>
      </x:c>
      <x:c r="F38" s="12" t="str">
        <x:v>READY</x:v>
      </x:c>
      <x:c r="G38" s="12" t="n">
        <x:v>37</x:v>
      </x:c>
      <x:c r="H38" s="12" t="str">
        <x:f>IF(A38=G38,"OK","رقم غير مطابق")</x:f>
        <x:v>OK</x:v>
      </x:c>
      <x:c r="I38" s="12" t="str">
        <x:f>IF(E38&lt;&gt;"REVIEW","OK","منصب يحتاج Mapping")</x:f>
        <x:v>OK</x:v>
      </x:c>
      <x:c r="J38" s="12" t="str"/>
    </x:row>
    <x:row r="39">
      <x:c r="A39" s="12" t="n">
        <x:v>38</x:v>
      </x:c>
      <x:c r="B39" s="12" t="str">
        <x:v>أمين الداخلي خلف محمد</x:v>
      </x:c>
      <x:c r="C39" s="12" t="str">
        <x:v>مساح أول</x:v>
      </x:c>
      <x:c r="D39" s="14" t="n">
        <x:v>45762</x:v>
      </x:c>
      <x:c r="E39" s="12" t="str">
        <x:v>SENIOR_SURVEYOR</x:v>
      </x:c>
      <x:c r="F39" s="12" t="str">
        <x:v>REVIEW_TEXT</x:v>
      </x:c>
      <x:c r="G39" s="12" t="n">
        <x:v>38</x:v>
      </x:c>
      <x:c r="H39" s="12" t="str">
        <x:f>IF(A39=G39,"OK","رقم غير مطابق")</x:f>
        <x:v>OK</x:v>
      </x:c>
      <x:c r="I39" s="12" t="str">
        <x:f>IF(E39&lt;&gt;"REVIEW","OK","منصب يحتاج Mapping")</x:f>
        <x:v>OK</x:v>
      </x:c>
      <x:c r="J39" s="12" t="str">
        <x:v>راجع الاسم من الصورة قبل الإدخال النهائي</x:v>
      </x:c>
    </x:row>
    <x:row r="40">
      <x:c r="A40" s="12" t="n">
        <x:v>39</x:v>
      </x:c>
      <x:c r="B40" s="12" t="str">
        <x:v>أحمد رمضان دسوقي خميس</x:v>
      </x:c>
      <x:c r="C40" s="12" t="str">
        <x:v>مساح أول</x:v>
      </x:c>
      <x:c r="D40" s="14" t="n">
        <x:v>45762</x:v>
      </x:c>
      <x:c r="E40" s="12" t="str">
        <x:v>SENIOR_SURVEYOR</x:v>
      </x:c>
      <x:c r="F40" s="12" t="str">
        <x:v>READY</x:v>
      </x:c>
      <x:c r="G40" s="12" t="n">
        <x:v>39</x:v>
      </x:c>
      <x:c r="H40" s="12" t="str">
        <x:f>IF(A40=G40,"OK","رقم غير مطابق")</x:f>
        <x:v>OK</x:v>
      </x:c>
      <x:c r="I40" s="12" t="str">
        <x:f>IF(E40&lt;&gt;"REVIEW","OK","منصب يحتاج Mapping")</x:f>
        <x:v>OK</x:v>
      </x:c>
      <x:c r="J40" s="12" t="str"/>
    </x:row>
    <x:row r="41">
      <x:c r="A41" s="12" t="n">
        <x:v>40</x:v>
      </x:c>
      <x:c r="B41" s="12" t="str">
        <x:v>عبد الله عبد الهادي مرسي عبدالرحمن</x:v>
      </x:c>
      <x:c r="C41" s="12" t="str">
        <x:v>مساح</x:v>
      </x:c>
      <x:c r="D41" s="14" t="n">
        <x:v>45788</x:v>
      </x:c>
      <x:c r="E41" s="12" t="str">
        <x:v>SURVEYOR</x:v>
      </x:c>
      <x:c r="F41" s="12" t="str">
        <x:v>READY</x:v>
      </x:c>
      <x:c r="G41" s="12" t="n">
        <x:v>40</x:v>
      </x:c>
      <x:c r="H41" s="12" t="str">
        <x:f>IF(A41=G41,"OK","رقم غير مطابق")</x:f>
        <x:v>OK</x:v>
      </x:c>
      <x:c r="I41" s="12" t="str">
        <x:f>IF(E41&lt;&gt;"REVIEW","OK","منصب يحتاج Mapping")</x:f>
        <x:v>OK</x:v>
      </x:c>
      <x:c r="J41" s="12" t="str"/>
    </x:row>
    <x:row r="42">
      <x:c r="A42" s="12" t="n">
        <x:v>41</x:v>
      </x:c>
      <x:c r="B42" s="12" t="str">
        <x:v>محمد عرفان جمعه</x:v>
      </x:c>
      <x:c r="C42" s="12" t="str">
        <x:v>مساح</x:v>
      </x:c>
      <x:c r="D42" s="14" t="n">
        <x:v>45931</x:v>
      </x:c>
      <x:c r="E42" s="12" t="str">
        <x:v>SURVEYOR</x:v>
      </x:c>
      <x:c r="F42" s="12" t="str">
        <x:v>READY</x:v>
      </x:c>
      <x:c r="G42" s="12" t="n">
        <x:v>41</x:v>
      </x:c>
      <x:c r="H42" s="12" t="str">
        <x:f>IF(A42=G42,"OK","رقم غير مطابق")</x:f>
        <x:v>OK</x:v>
      </x:c>
      <x:c r="I42" s="12" t="str">
        <x:f>IF(E42&lt;&gt;"REVIEW","OK","منصب يحتاج Mapping")</x:f>
        <x:v>OK</x:v>
      </x:c>
      <x:c r="J42" s="12" t="str"/>
    </x:row>
    <x:row r="43">
      <x:c r="A43" s="12" t="n">
        <x:v>42</x:v>
      </x:c>
      <x:c r="B43" s="12" t="str">
        <x:v>محمد شعبان محمد</x:v>
      </x:c>
      <x:c r="C43" s="12" t="str">
        <x:v>مساح</x:v>
      </x:c>
      <x:c r="D43" s="14" t="n">
        <x:v>46018</x:v>
      </x:c>
      <x:c r="E43" s="12" t="str">
        <x:v>SURVEYOR</x:v>
      </x:c>
      <x:c r="F43" s="12" t="str">
        <x:v>READY</x:v>
      </x:c>
      <x:c r="G43" s="12" t="n">
        <x:v>42</x:v>
      </x:c>
      <x:c r="H43" s="12" t="str">
        <x:f>IF(A43=G43,"OK","رقم غير مطابق")</x:f>
        <x:v>OK</x:v>
      </x:c>
      <x:c r="I43" s="12" t="str">
        <x:f>IF(E43&lt;&gt;"REVIEW","OK","منصب يحتاج Mapping")</x:f>
        <x:v>OK</x:v>
      </x:c>
      <x:c r="J43" s="12" t="str"/>
    </x:row>
    <x:row r="44">
      <x:c r="A44" s="12" t="n">
        <x:v>43</x:v>
      </x:c>
      <x:c r="B44" s="12" t="str">
        <x:v>حسن محمد عبد الفتاح أبو عصر</x:v>
      </x:c>
      <x:c r="C44" s="12" t="str">
        <x:v>مدير سلامه وصحة مهنية</x:v>
      </x:c>
      <x:c r="D44" s="14" t="n">
        <x:v>45773</x:v>
      </x:c>
      <x:c r="E44" s="12" t="str">
        <x:v>HSE_MANAGER</x:v>
      </x:c>
      <x:c r="F44" s="12" t="str">
        <x:v>READY</x:v>
      </x:c>
      <x:c r="G44" s="12" t="n">
        <x:v>43</x:v>
      </x:c>
      <x:c r="H44" s="12" t="str">
        <x:f>IF(A44=G44,"OK","رقم غير مطابق")</x:f>
        <x:v>OK</x:v>
      </x:c>
      <x:c r="I44" s="12" t="str">
        <x:f>IF(E44&lt;&gt;"REVIEW","OK","منصب يحتاج Mapping")</x:f>
        <x:v>OK</x:v>
      </x:c>
      <x:c r="J44" s="12" t="str"/>
    </x:row>
    <x:row r="45">
      <x:c r="A45" s="12" t="n">
        <x:v>44</x:v>
      </x:c>
      <x:c r="B45" s="12" t="str">
        <x:v>طه محمد يسرى عبد الهادي</x:v>
      </x:c>
      <x:c r="C45" s="12" t="str">
        <x:v>مشرف سلامه وصحة مهنية</x:v>
      </x:c>
      <x:c r="D45" s="14" t="n">
        <x:v>45762</x:v>
      </x:c>
      <x:c r="E45" s="12" t="str">
        <x:v>HSE_SUPERVISOR</x:v>
      </x:c>
      <x:c r="F45" s="12" t="str">
        <x:v>READY</x:v>
      </x:c>
      <x:c r="G45" s="12" t="n">
        <x:v>44</x:v>
      </x:c>
      <x:c r="H45" s="12" t="str">
        <x:f>IF(A45=G45,"OK","رقم غير مطابق")</x:f>
        <x:v>OK</x:v>
      </x:c>
      <x:c r="I45" s="12" t="str">
        <x:f>IF(E45&lt;&gt;"REVIEW","OK","منصب يحتاج Mapping")</x:f>
        <x:v>OK</x:v>
      </x:c>
      <x:c r="J45" s="12" t="str"/>
    </x:row>
    <x:row r="46">
      <x:c r="A46" s="12" t="n">
        <x:v>45</x:v>
      </x:c>
      <x:c r="B46" s="12" t="str">
        <x:v>أحمد عبد الاله محمود مباني</x:v>
      </x:c>
      <x:c r="C46" s="12" t="str">
        <x:v>مشرف سلامه وصحة مهنية</x:v>
      </x:c>
      <x:c r="D46" s="14" t="n">
        <x:v>45762</x:v>
      </x:c>
      <x:c r="E46" s="12" t="str">
        <x:v>HSE_SUPERVISOR</x:v>
      </x:c>
      <x:c r="F46" s="12" t="str">
        <x:v>REVIEW_TEXT</x:v>
      </x:c>
      <x:c r="G46" s="12" t="n">
        <x:v>45</x:v>
      </x:c>
      <x:c r="H46" s="12" t="str">
        <x:f>IF(A46=G46,"OK","رقم غير مطابق")</x:f>
        <x:v>OK</x:v>
      </x:c>
      <x:c r="I46" s="12" t="str">
        <x:f>IF(E46&lt;&gt;"REVIEW","OK","منصب يحتاج Mapping")</x:f>
        <x:v>OK</x:v>
      </x:c>
      <x:c r="J46" s="12" t="str">
        <x:v>راجع الاسم من الصورة قبل الإدخال النهائي</x:v>
      </x:c>
    </x:row>
    <x:row r="47">
      <x:c r="A47" s="12" t="n">
        <x:v>46</x:v>
      </x:c>
      <x:c r="B47" s="12" t="str">
        <x:v>رجب لطفي أبو غنيمة محمود</x:v>
      </x:c>
      <x:c r="C47" s="12" t="str">
        <x:v>مشرف سلامه وصحة مهنية</x:v>
      </x:c>
      <x:c r="D47" s="14" t="n">
        <x:v>45920</x:v>
      </x:c>
      <x:c r="E47" s="12" t="str">
        <x:v>HSE_SUPERVISOR</x:v>
      </x:c>
      <x:c r="F47" s="12" t="str">
        <x:v>READY</x:v>
      </x:c>
      <x:c r="G47" s="12" t="n">
        <x:v>46</x:v>
      </x:c>
      <x:c r="H47" s="12" t="str">
        <x:f>IF(A47=G47,"OK","رقم غير مطابق")</x:f>
        <x:v>OK</x:v>
      </x:c>
      <x:c r="I47" s="12" t="str">
        <x:f>IF(E47&lt;&gt;"REVIEW","OK","منصب يحتاج Mapping")</x:f>
        <x:v>OK</x:v>
      </x:c>
      <x:c r="J47" s="12" t="str"/>
    </x:row>
    <x:row r="48">
      <x:c r="A48" s="12" t="n">
        <x:v>47</x:v>
      </x:c>
      <x:c r="B48" s="12" t="str">
        <x:v>ياسر ذكري أبو الزين ذكري</x:v>
      </x:c>
      <x:c r="C48" s="12" t="str">
        <x:v>مشرف سلامه وصحة مهنية</x:v>
      </x:c>
      <x:c r="D48" s="14" t="n">
        <x:v>45921</x:v>
      </x:c>
      <x:c r="E48" s="12" t="str">
        <x:v>HSE_SUPERVISOR</x:v>
      </x:c>
      <x:c r="F48" s="12" t="str">
        <x:v>READY</x:v>
      </x:c>
      <x:c r="G48" s="12" t="n">
        <x:v>47</x:v>
      </x:c>
      <x:c r="H48" s="12" t="str">
        <x:f>IF(A48=G48,"OK","رقم غير مطابق")</x:f>
        <x:v>OK</x:v>
      </x:c>
      <x:c r="I48" s="12" t="str">
        <x:f>IF(E48&lt;&gt;"REVIEW","OK","منصب يحتاج Mapping")</x:f>
        <x:v>OK</x:v>
      </x:c>
      <x:c r="J48" s="12" t="str"/>
    </x:row>
    <x:row r="49">
      <x:c r="A49" s="12" t="n">
        <x:v>48</x:v>
      </x:c>
      <x:c r="B49" s="12" t="str">
        <x:v>عبد الرحمن محمود طه</x:v>
      </x:c>
      <x:c r="C49" s="12" t="str">
        <x:v>مشرف سلامه وصحة مهنية</x:v>
      </x:c>
      <x:c r="D49" s="14" t="n">
        <x:v>45990</x:v>
      </x:c>
      <x:c r="E49" s="12" t="str">
        <x:v>HSE_SUPERVISOR</x:v>
      </x:c>
      <x:c r="F49" s="12" t="str">
        <x:v>READY</x:v>
      </x:c>
      <x:c r="G49" s="12" t="n">
        <x:v>48</x:v>
      </x:c>
      <x:c r="H49" s="12" t="str">
        <x:f>IF(A49=G49,"OK","رقم غير مطابق")</x:f>
        <x:v>OK</x:v>
      </x:c>
      <x:c r="I49" s="12" t="str">
        <x:f>IF(E49&lt;&gt;"REVIEW","OK","منصب يحتاج Mapping")</x:f>
        <x:v>OK</x:v>
      </x:c>
      <x:c r="J49" s="12" t="str"/>
    </x:row>
    <x:row r="50">
      <x:c r="A50" s="12" t="n">
        <x:v>49</x:v>
      </x:c>
      <x:c r="B50" s="12" t="str">
        <x:v>عاطف محمد محمد السيد</x:v>
      </x:c>
      <x:c r="C50" s="12" t="str">
        <x:v>مدير مهمات</x:v>
      </x:c>
      <x:c r="D50" s="14" t="n">
        <x:v>45778</x:v>
      </x:c>
      <x:c r="E50" s="12" t="str">
        <x:v>EQUIPMENT_MANAGER</x:v>
      </x:c>
      <x:c r="F50" s="12" t="str">
        <x:v>READY</x:v>
      </x:c>
      <x:c r="G50" s="12" t="n">
        <x:v>49</x:v>
      </x:c>
      <x:c r="H50" s="12" t="str">
        <x:f>IF(A50=G50,"OK","رقم غير مطابق")</x:f>
        <x:v>OK</x:v>
      </x:c>
      <x:c r="I50" s="12" t="str">
        <x:f>IF(E50&lt;&gt;"REVIEW","OK","منصب يحتاج Mapping")</x:f>
        <x:v>OK</x:v>
      </x:c>
      <x:c r="J50" s="12" t="str"/>
    </x:row>
    <x:row r="51">
      <x:c r="A51" s="12" t="n">
        <x:v>50</x:v>
      </x:c>
      <x:c r="B51" s="12" t="str">
        <x:v>أحمد علي عبد الحافظ علي</x:v>
      </x:c>
      <x:c r="C51" s="12" t="str">
        <x:v>كهربائي كنترول</x:v>
      </x:c>
      <x:c r="D51" s="14" t="n">
        <x:v>45809</x:v>
      </x:c>
      <x:c r="E51" s="12" t="str">
        <x:v>CONTROL_ELECTRICIAN</x:v>
      </x:c>
      <x:c r="F51" s="12" t="str">
        <x:v>READY</x:v>
      </x:c>
      <x:c r="G51" s="12" t="n">
        <x:v>50</x:v>
      </x:c>
      <x:c r="H51" s="12" t="str">
        <x:f>IF(A51=G51,"OK","رقم غير مطابق")</x:f>
        <x:v>OK</x:v>
      </x:c>
      <x:c r="I51" s="12" t="str">
        <x:f>IF(E51&lt;&gt;"REVIEW","OK","منصب يحتاج Mapping")</x:f>
        <x:v>OK</x:v>
      </x:c>
      <x:c r="J51" s="12" t="str"/>
    </x:row>
    <x:row r="52">
      <x:c r="A52" s="12" t="n">
        <x:v>51</x:v>
      </x:c>
      <x:c r="B52" s="12" t="str">
        <x:v>جابر سيد فهمي عبدالعزيز</x:v>
      </x:c>
      <x:c r="C52" s="12" t="str">
        <x:v>سائق ربع نقل</x:v>
      </x:c>
      <x:c r="D52" s="14" t="n">
        <x:v>45773</x:v>
      </x:c>
      <x:c r="E52" s="12" t="str">
        <x:v>PICKUP_DRIVER</x:v>
      </x:c>
      <x:c r="F52" s="12" t="str">
        <x:v>READY</x:v>
      </x:c>
      <x:c r="G52" s="12" t="n">
        <x:v>51</x:v>
      </x:c>
      <x:c r="H52" s="12" t="str">
        <x:f>IF(A52=G52,"OK","رقم غير مطابق")</x:f>
        <x:v>OK</x:v>
      </x:c>
      <x:c r="I52" s="12" t="str">
        <x:f>IF(E52&lt;&gt;"REVIEW","OK","منصب يحتاج Mapping")</x:f>
        <x:v>OK</x:v>
      </x:c>
      <x:c r="J52" s="12" t="str"/>
    </x:row>
    <x:row r="53">
      <x:c r="A53" s="12" t="n">
        <x:v>52</x:v>
      </x:c>
      <x:c r="B53" s="12" t="str">
        <x:v>عصام محمد يسري حسن</x:v>
      </x:c>
      <x:c r="C53" s="12" t="str">
        <x:v>سائق ملاكي</x:v>
      </x:c>
      <x:c r="D53" s="14" t="n">
        <x:v>45762</x:v>
      </x:c>
      <x:c r="E53" s="12" t="str">
        <x:v>PRIVATE_DRIVER</x:v>
      </x:c>
      <x:c r="F53" s="12" t="str">
        <x:v>READY</x:v>
      </x:c>
      <x:c r="G53" s="12" t="n">
        <x:v>52</x:v>
      </x:c>
      <x:c r="H53" s="12" t="str">
        <x:f>IF(A53=G53,"OK","رقم غير مطابق")</x:f>
        <x:v>OK</x:v>
      </x:c>
      <x:c r="I53" s="12" t="str">
        <x:f>IF(E53&lt;&gt;"REVIEW","OK","منصب يحتاج Mapping")</x:f>
        <x:v>OK</x:v>
      </x:c>
      <x:c r="J53" s="12" t="str"/>
    </x:row>
    <x:row r="54">
      <x:c r="A54" s="12" t="n">
        <x:v>53</x:v>
      </x:c>
      <x:c r="B54" s="12" t="str">
        <x:v>خالد محمد حامد حسين</x:v>
      </x:c>
      <x:c r="C54" s="12" t="str">
        <x:v>سائق ربع نقل</x:v>
      </x:c>
      <x:c r="D54" s="14" t="n">
        <x:v>45907</x:v>
      </x:c>
      <x:c r="E54" s="12" t="str">
        <x:v>PICKUP_DRIVER</x:v>
      </x:c>
      <x:c r="F54" s="12" t="str">
        <x:v>READY</x:v>
      </x:c>
      <x:c r="G54" s="12" t="n">
        <x:v>53</x:v>
      </x:c>
      <x:c r="H54" s="12" t="str">
        <x:f>IF(A54=G54,"OK","رقم غير مطابق")</x:f>
        <x:v>OK</x:v>
      </x:c>
      <x:c r="I54" s="12" t="str">
        <x:f>IF(E54&lt;&gt;"REVIEW","OK","منصب يحتاج Mapping")</x:f>
        <x:v>OK</x:v>
      </x:c>
      <x:c r="J54" s="12" t="str"/>
    </x:row>
    <x:row r="55">
      <x:c r="A55" s="12" t="n">
        <x:v>54</x:v>
      </x:c>
      <x:c r="B55" s="12" t="str">
        <x:v>سيد رشاد محمد حسين</x:v>
      </x:c>
      <x:c r="C55" s="12" t="str">
        <x:v>سائق ملاكي</x:v>
      </x:c>
      <x:c r="D55" s="14" t="n">
        <x:v>45778</x:v>
      </x:c>
      <x:c r="E55" s="12" t="str">
        <x:v>PRIVATE_DRIVER</x:v>
      </x:c>
      <x:c r="F55" s="12" t="str">
        <x:v>READY</x:v>
      </x:c>
      <x:c r="G55" s="12" t="n">
        <x:v>54</x:v>
      </x:c>
      <x:c r="H55" s="12" t="str">
        <x:f>IF(A55=G55,"OK","رقم غير مطابق")</x:f>
        <x:v>OK</x:v>
      </x:c>
      <x:c r="I55" s="12" t="str">
        <x:f>IF(E55&lt;&gt;"REVIEW","OK","منصب يحتاج Mapping")</x:f>
        <x:v>OK</x:v>
      </x:c>
      <x:c r="J55" s="12" t="str"/>
    </x:row>
    <x:row r="56">
      <x:c r="A56" s="12" t="n">
        <x:v>55</x:v>
      </x:c>
      <x:c r="B56" s="12" t="str">
        <x:v>أحمد سعيد خميس عبدالعزيز</x:v>
      </x:c>
      <x:c r="C56" s="12" t="str">
        <x:v>سائق ملاكي</x:v>
      </x:c>
      <x:c r="D56" s="14" t="n">
        <x:v>45766</x:v>
      </x:c>
      <x:c r="E56" s="12" t="str">
        <x:v>PRIVATE_DRIVER</x:v>
      </x:c>
      <x:c r="F56" s="12" t="str">
        <x:v>READY</x:v>
      </x:c>
      <x:c r="G56" s="12" t="n">
        <x:v>55</x:v>
      </x:c>
      <x:c r="H56" s="12" t="str">
        <x:f>IF(A56=G56,"OK","رقم غير مطابق")</x:f>
        <x:v>OK</x:v>
      </x:c>
      <x:c r="I56" s="12" t="str">
        <x:f>IF(E56&lt;&gt;"REVIEW","OK","منصب يحتاج Mapping")</x:f>
        <x:v>OK</x:v>
      </x:c>
      <x:c r="J56" s="12" t="str"/>
    </x:row>
  </x:sheetData>
  <x:conditionalFormatting sqref="F2:F56">
    <x:cfRule type="expression" dxfId="0" priority="1">
      <x:formula>LEFT($F2,6)="REVIEW"</x:formula>
    </x:cfRule>
  </x:conditionalFormatting>
  <x:conditionalFormatting sqref="H2:I56">
    <x:cfRule type="expression" dxfId="1" priority="2">
      <x:formula>H2&lt;&gt;"OK"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34d8a1d64dd4cb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2" hidden="0" customWidth="1"/>
    <x:col min="3" max="3" width="24" hidden="0" customWidth="1"/>
    <x:col min="4" max="4" width="16" hidden="0" customWidth="1"/>
    <x:col min="5" max="5" width="30" hidden="0" customWidth="1"/>
    <x:col min="6" max="6" width="28" hidden="0" customWidth="1"/>
    <x:col min="7" max="7" width="28" hidden="0" customWidth="1"/>
  </x:cols>
  <x:sheetData>
    <x:row r="1">
      <x:c r="A1" s="6" t="str">
        <x:v>م</x:v>
      </x:c>
      <x:c r="B1" s="6" t="str">
        <x:v>الاسم</x:v>
      </x:c>
      <x:c r="C1" s="6" t="str">
        <x:v>الوظيفة</x:v>
      </x:c>
      <x:c r="D1" s="6" t="str">
        <x:v>بداية التعيين</x:v>
      </x:c>
      <x:c r="E1" s="6" t="str">
        <x:v>job_code</x:v>
      </x:c>
      <x:c r="F1" s="6" t="str">
        <x:v>review_status</x:v>
      </x:c>
      <x:c r="G1" s="6" t="str">
        <x:v>سبب المراجعة</x:v>
      </x:c>
    </x:row>
    <x:row r="2">
      <x:c r="A2" t="n">
        <x:v>7</x:v>
      </x:c>
      <x:c r="B2" t="str">
        <x:v>محمدعبدالرحمن عبد الفتاح</x:v>
      </x:c>
      <x:c r="C2" t="str">
        <x:v>مهندس تنفيذ</x:v>
      </x:c>
      <x:c r="D2" s="16" t="n">
        <x:v>45920</x:v>
      </x:c>
      <x:c r="E2" t="str">
        <x:v>SITE_ENGINEER</x:v>
      </x:c>
      <x:c r="F2" t="str">
        <x:v>REVIEW_TEXT</x:v>
      </x:c>
      <x:c r="G2" t="str">
        <x:v>راجع الاسم من الصورة قبل الإدخال النهائي</x:v>
      </x:c>
    </x:row>
    <x:row r="3">
      <x:c r="A3" t="n">
        <x:v>10</x:v>
      </x:c>
      <x:c r="B3" t="str">
        <x:v>معتز سنائي محمد احمد الوقفي</x:v>
      </x:c>
      <x:c r="C3" t="str">
        <x:v>مهندس تنفيذ</x:v>
      </x:c>
      <x:c r="D3" s="16" t="n">
        <x:v>45762</x:v>
      </x:c>
      <x:c r="E3" t="str">
        <x:v>SITE_ENGINEER</x:v>
      </x:c>
      <x:c r="F3" t="str">
        <x:v>REVIEW_TEXT</x:v>
      </x:c>
      <x:c r="G3" t="str">
        <x:v>راجع الاسم من الصورة قبل الإدخال النهائي</x:v>
      </x:c>
    </x:row>
    <x:row r="4">
      <x:c r="A4" t="n">
        <x:v>15</x:v>
      </x:c>
      <x:c r="B4" t="str">
        <x:v>أحمد عبد المقصود حسينين إبراهيم</x:v>
      </x:c>
      <x:c r="C4" t="str">
        <x:v>مشرف تنفيذ</x:v>
      </x:c>
      <x:c r="D4" s="16" t="n">
        <x:v>45829</x:v>
      </x:c>
      <x:c r="E4" t="str">
        <x:v>SITE_SUPERVISOR</x:v>
      </x:c>
      <x:c r="F4" t="str">
        <x:v>REVIEW_TEXT</x:v>
      </x:c>
      <x:c r="G4" t="str">
        <x:v>راجع الاسم من الصورة قبل الإدخال النهائي</x:v>
      </x:c>
    </x:row>
    <x:row r="5">
      <x:c r="A5" t="n">
        <x:v>21</x:v>
      </x:c>
      <x:c r="B5" t="str">
        <x:v>أحمد نصر خطاب طاحه</x:v>
      </x:c>
      <x:c r="C5" t="str">
        <x:v>مهندس مكتب فني</x:v>
      </x:c>
      <x:c r="D5" s="16" t="n">
        <x:v>45762</x:v>
      </x:c>
      <x:c r="E5" t="str">
        <x:v>TECHNICAL_OFFICE_ENGINEER</x:v>
      </x:c>
      <x:c r="F5" t="str">
        <x:v>REVIEW_TEXT</x:v>
      </x:c>
      <x:c r="G5" t="str">
        <x:v>راجع الاسم من الصورة قبل الإدخال النهائي</x:v>
      </x:c>
    </x:row>
    <x:row r="6">
      <x:c r="A6" t="n">
        <x:v>24</x:v>
      </x:c>
      <x:c r="B6" t="str">
        <x:v>عبد الرحمن أحمد مصليح</x:v>
      </x:c>
      <x:c r="C6" t="str">
        <x:v>مهندس مكتب فني</x:v>
      </x:c>
      <x:c r="D6" s="16" t="n">
        <x:v>45969</x:v>
      </x:c>
      <x:c r="E6" t="str">
        <x:v>TECHNICAL_OFFICE_ENGINEER</x:v>
      </x:c>
      <x:c r="F6" t="str">
        <x:v>REVIEW_TEXT</x:v>
      </x:c>
      <x:c r="G6" t="str">
        <x:v>راجع الاسم من الصورة قبل الإدخال النهائي</x:v>
      </x:c>
    </x:row>
    <x:row r="7">
      <x:c r="A7" t="n">
        <x:v>25</x:v>
      </x:c>
      <x:c r="B7" t="str">
        <x:v>محمد صفوت صفوت صفوت</x:v>
      </x:c>
      <x:c r="C7" t="str">
        <x:v>مهندس مكتب فني</x:v>
      </x:c>
      <x:c r="D7" s="16" t="n">
        <x:v>46004</x:v>
      </x:c>
      <x:c r="E7" t="str">
        <x:v>TECHNICAL_OFFICE_ENGINEER</x:v>
      </x:c>
      <x:c r="F7" t="str">
        <x:v>REVIEW_TEXT</x:v>
      </x:c>
      <x:c r="G7" t="str">
        <x:v>راجع الاسم من الصورة قبل الإدخال النهائي</x:v>
      </x:c>
    </x:row>
    <x:row r="8">
      <x:c r="A8" t="n">
        <x:v>35</x:v>
      </x:c>
      <x:c r="B8" t="str">
        <x:v>محمود حمدي فتحي محمود</x:v>
      </x:c>
      <x:c r="C8" t="str">
        <x:v>اخصائي شؤون إدارية</x:v>
      </x:c>
      <x:c r="D8" s="16" t="n">
        <x:v>45885</x:v>
      </x:c>
      <x:c r="E8" t="str">
        <x:v>ADMIN_AFFAIRS_SPECIALIST</x:v>
      </x:c>
      <x:c r="F8" t="str">
        <x:v>REVIEW_TEXT</x:v>
      </x:c>
      <x:c r="G8" t="str">
        <x:v>راجع الاسم من الصورة قبل الإدخال النهائي</x:v>
      </x:c>
    </x:row>
    <x:row r="9">
      <x:c r="A9" t="n">
        <x:v>38</x:v>
      </x:c>
      <x:c r="B9" t="str">
        <x:v>أمين الداخلي خلف محمد</x:v>
      </x:c>
      <x:c r="C9" t="str">
        <x:v>مساح أول</x:v>
      </x:c>
      <x:c r="D9" s="16" t="n">
        <x:v>45762</x:v>
      </x:c>
      <x:c r="E9" t="str">
        <x:v>SENIOR_SURVEYOR</x:v>
      </x:c>
      <x:c r="F9" t="str">
        <x:v>REVIEW_TEXT</x:v>
      </x:c>
      <x:c r="G9" t="str">
        <x:v>راجع الاسم من الصورة قبل الإدخال النهائي</x:v>
      </x:c>
    </x:row>
    <x:row r="10">
      <x:c r="A10" t="n">
        <x:v>45</x:v>
      </x:c>
      <x:c r="B10" t="str">
        <x:v>أحمد عبد الاله محمود مباني</x:v>
      </x:c>
      <x:c r="C10" t="str">
        <x:v>مشرف سلامه وصحة مهنية</x:v>
      </x:c>
      <x:c r="D10" s="16" t="n">
        <x:v>45762</x:v>
      </x:c>
      <x:c r="E10" t="str">
        <x:v>HSE_SUPERVISOR</x:v>
      </x:c>
      <x:c r="F10" t="str">
        <x:v>REVIEW_TEXT</x:v>
      </x:c>
      <x:c r="G10" t="str">
        <x:v>راجع الاسم من الصورة قبل الإدخال النهائي</x:v>
      </x:c>
    </x:row>
  </x:sheetData>
  <x:pageMargins left="0.7" right="0.7" top="0.75" bottom="0.75" header="0.3" footer="0.3"/>
  <x:tableParts count="1">
    <x:tablePart xmlns:r="http://schemas.openxmlformats.org/officeDocument/2006/relationships" r:id="Rf022e654c43849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18" hidden="0" customWidth="1"/>
  </x:cols>
  <x:sheetData>
    <x:row r="1">
      <x:c r="A1" s="6" t="str">
        <x:v>الوظيفة الأصلية</x:v>
      </x:c>
      <x:c r="B1" s="6" t="str">
        <x:v>job_code</x:v>
      </x:c>
      <x:c r="C1" s="6" t="str">
        <x:v>category</x:v>
      </x:c>
    </x:row>
    <x:row r="2">
      <x:c r="A2" t="str">
        <x:v>مدير المشروعات</x:v>
      </x:c>
      <x:c r="B2" t="str">
        <x:v>HEAD_PROJECTS</x:v>
      </x:c>
      <x:c r="C2" t="str">
        <x:v>Management</x:v>
      </x:c>
    </x:row>
    <x:row r="3">
      <x:c r="A3" t="str">
        <x:v>مدير مشروع</x:v>
      </x:c>
      <x:c r="B3" t="str">
        <x:v>PROJECT_MANAGER</x:v>
      </x:c>
      <x:c r="C3" t="str">
        <x:v>Management</x:v>
      </x:c>
    </x:row>
    <x:row r="4">
      <x:c r="A4" t="str">
        <x:v>مدير مكتب فني</x:v>
      </x:c>
      <x:c r="B4" t="str">
        <x:v>TECHNICAL_OFFICE_MANAGER</x:v>
      </x:c>
      <x:c r="C4" t="str">
        <x:v>Management</x:v>
      </x:c>
    </x:row>
    <x:row r="5">
      <x:c r="A5" t="str">
        <x:v>مدير جودة</x:v>
      </x:c>
      <x:c r="B5" t="str">
        <x:v>QUALITY_MANAGER</x:v>
      </x:c>
      <x:c r="C5" t="str">
        <x:v>Management</x:v>
      </x:c>
    </x:row>
    <x:row r="6">
      <x:c r="A6" t="str">
        <x:v>مهندس تنفيذ</x:v>
      </x:c>
      <x:c r="B6" t="str">
        <x:v>SITE_ENGINEER</x:v>
      </x:c>
      <x:c r="C6" t="str">
        <x:v>Engineering</x:v>
      </x:c>
    </x:row>
    <x:row r="7">
      <x:c r="A7" t="str">
        <x:v>مشرف تنفيذ</x:v>
      </x:c>
      <x:c r="B7" t="str">
        <x:v>SITE_SUPERVISOR</x:v>
      </x:c>
      <x:c r="C7" t="str">
        <x:v>Engineering</x:v>
      </x:c>
    </x:row>
    <x:row r="8">
      <x:c r="A8" t="str">
        <x:v>مشرف كهرباء</x:v>
      </x:c>
      <x:c r="B8" t="str">
        <x:v>ELECTRICAL_SUPERVISOR</x:v>
      </x:c>
      <x:c r="C8" t="str">
        <x:v>Engineering</x:v>
      </x:c>
    </x:row>
    <x:row r="9">
      <x:c r="A9" t="str">
        <x:v>مهندس مكتب فني</x:v>
      </x:c>
      <x:c r="B9" t="str">
        <x:v>TECHNICAL_OFFICE_ENGINEER</x:v>
      </x:c>
      <x:c r="C9" t="str">
        <x:v>Engineering</x:v>
      </x:c>
    </x:row>
    <x:row r="10">
      <x:c r="A10" t="str">
        <x:v>مهندس جودة</x:v>
      </x:c>
      <x:c r="B10" t="str">
        <x:v>QUALITY_ENGINEER</x:v>
      </x:c>
      <x:c r="C10" t="str">
        <x:v>Engineering</x:v>
      </x:c>
    </x:row>
    <x:row r="11">
      <x:c r="A11" t="str">
        <x:v>منسق وثائق أول</x:v>
      </x:c>
      <x:c r="B11" t="str">
        <x:v>SENIOR_DOCUMENT_CONTROLLER</x:v>
      </x:c>
      <x:c r="C11" t="str">
        <x:v>Admin/Finance</x:v>
      </x:c>
    </x:row>
    <x:row r="12">
      <x:c r="A12" t="str">
        <x:v>منسق وثائق</x:v>
      </x:c>
      <x:c r="B12" t="str">
        <x:v>DOCUMENT_CONTROLLER</x:v>
      </x:c>
      <x:c r="C12" t="str">
        <x:v>Admin/Finance</x:v>
      </x:c>
    </x:row>
    <x:row r="13">
      <x:c r="A13" t="str">
        <x:v>محاسب أول</x:v>
      </x:c>
      <x:c r="B13" t="str">
        <x:v>SENIOR_ACCOUNTANT</x:v>
      </x:c>
      <x:c r="C13" t="str">
        <x:v>Admin/Finance</x:v>
      </x:c>
    </x:row>
    <x:row r="14">
      <x:c r="A14" t="str">
        <x:v>مشرف مشتريات</x:v>
      </x:c>
      <x:c r="B14" t="str">
        <x:v>PURCHASING_SUPERVISOR</x:v>
      </x:c>
      <x:c r="C14" t="str">
        <x:v>Admin/Finance</x:v>
      </x:c>
    </x:row>
    <x:row r="15">
      <x:c r="A15" t="str">
        <x:v>مشرف شؤون إدارية</x:v>
      </x:c>
      <x:c r="B15" t="str">
        <x:v>ADMIN_AFFAIRS_SUPERVISOR</x:v>
      </x:c>
      <x:c r="C15" t="str">
        <x:v>Admin/Finance</x:v>
      </x:c>
    </x:row>
    <x:row r="16">
      <x:c r="A16" t="str">
        <x:v>اخصائي شؤون إدارية</x:v>
      </x:c>
      <x:c r="B16" t="str">
        <x:v>ADMIN_AFFAIRS_SPECIALIST</x:v>
      </x:c>
      <x:c r="C16" t="str">
        <x:v>Admin/Finance</x:v>
      </x:c>
    </x:row>
    <x:row r="17">
      <x:c r="A17" t="str">
        <x:v>أمين مخزن</x:v>
      </x:c>
      <x:c r="B17" t="str">
        <x:v>STOREKEEPER</x:v>
      </x:c>
      <x:c r="C17" t="str">
        <x:v>Operations</x:v>
      </x:c>
    </x:row>
    <x:row r="18">
      <x:c r="A18" t="str">
        <x:v>مساح أول</x:v>
      </x:c>
      <x:c r="B18" t="str">
        <x:v>SENIOR_SURVEYOR</x:v>
      </x:c>
      <x:c r="C18" t="str">
        <x:v>Operations</x:v>
      </x:c>
    </x:row>
    <x:row r="19">
      <x:c r="A19" t="str">
        <x:v>مساح</x:v>
      </x:c>
      <x:c r="B19" t="str">
        <x:v>SURVEYOR</x:v>
      </x:c>
      <x:c r="C19" t="str">
        <x:v>Operations</x:v>
      </x:c>
    </x:row>
    <x:row r="20">
      <x:c r="A20" t="str">
        <x:v>مدير سلامه وصحة مهنية</x:v>
      </x:c>
      <x:c r="B20" t="str">
        <x:v>HSE_MANAGER</x:v>
      </x:c>
      <x:c r="C20" t="str">
        <x:v>Management</x:v>
      </x:c>
    </x:row>
    <x:row r="21">
      <x:c r="A21" t="str">
        <x:v>مشرف سلامه وصحة مهنية</x:v>
      </x:c>
      <x:c r="B21" t="str">
        <x:v>HSE_SUPERVISOR</x:v>
      </x:c>
      <x:c r="C21" t="str">
        <x:v>HSE</x:v>
      </x:c>
    </x:row>
    <x:row r="22">
      <x:c r="A22" t="str">
        <x:v>مدير مهمات</x:v>
      </x:c>
      <x:c r="B22" t="str">
        <x:v>EQUIPMENT_MANAGER</x:v>
      </x:c>
      <x:c r="C22" t="str">
        <x:v>Management</x:v>
      </x:c>
    </x:row>
    <x:row r="23">
      <x:c r="A23" t="str">
        <x:v>كهربائي كنترول</x:v>
      </x:c>
      <x:c r="B23" t="str">
        <x:v>CONTROL_ELECTRICIAN</x:v>
      </x:c>
      <x:c r="C23" t="str">
        <x:v>Operations</x:v>
      </x:c>
    </x:row>
    <x:row r="24">
      <x:c r="A24" t="str">
        <x:v>سائق ربع نقل</x:v>
      </x:c>
      <x:c r="B24" t="str">
        <x:v>PICKUP_DRIVER</x:v>
      </x:c>
      <x:c r="C24" t="str">
        <x:v>Operations</x:v>
      </x:c>
    </x:row>
    <x:row r="25">
      <x:c r="A25" t="str">
        <x:v>سائق ملاكي</x:v>
      </x:c>
      <x:c r="B25" t="str">
        <x:v>PRIVATE_DRIVER</x:v>
      </x:c>
      <x:c r="C25" t="str">
        <x:v>Operations</x:v>
      </x:c>
    </x:row>
  </x:sheetData>
  <x:pageMargins left="0.7" right="0.7" top="0.75" bottom="0.75" header="0.3" footer="0.3"/>
  <x:tableParts count="1">
    <x:tablePart xmlns:r="http://schemas.openxmlformats.org/officeDocument/2006/relationships" r:id="R8b516be4803a47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20" t="str">
        <x:v>OMEGA Roster Import Control</x:v>
      </x:c>
      <x:c r="B1" s="20" t="str"/>
    </x:row>
    <x:row r="2">
      <x:c r="A2" s="25" t="str">
        <x:v>Total Rows</x:v>
      </x:c>
      <x:c r="B2" t="n">
        <x:v>55</x:v>
      </x:c>
    </x:row>
    <x:row r="3">
      <x:c r="A3" s="25" t="str">
        <x:v>Ready Rows</x:v>
      </x:c>
      <x:c r="B3" t="n">
        <x:v>46</x:v>
      </x:c>
    </x:row>
    <x:row r="4">
      <x:c r="A4" s="25" t="str">
        <x:v>Review Rows</x:v>
      </x:c>
      <x:c r="B4" t="n">
        <x:v>9</x:v>
      </x:c>
    </x:row>
    <x:row r="5">
      <x:c r="A5" s="25" t="str">
        <x:v>Target DB Field For Date</x:v>
      </x:c>
      <x:c r="B5" t="str">
        <x:v>بداية التعيين</x:v>
      </x:c>
    </x:row>
    <x:row r="6">
      <x:c r="A6" s="25" t="str">
        <x:v>Insert Rule</x:v>
      </x:c>
      <x:c r="B6" t="str">
        <x:v>لا يتم الإدخال إلا بعد مطابقة: م + الوظيفة + بداية التعيين</x:v>
      </x:c>
    </x:row>
    <x:row r="7">
      <x:c r="A7" s="25" t="str">
        <x:v>Source</x:v>
      </x:c>
      <x:c r="B7" t="str">
        <x:v>صورة كشف أسماء الموظفين المرسلة في المحادثة</x:v>
      </x:c>
    </x:row>
  </x:sheetData>
  <x:pageMargins left="0.7" right="0.7" top="0.75" bottom="0.75" header="0.3" footer="0.3"/>
</x:worksheet>
</file>