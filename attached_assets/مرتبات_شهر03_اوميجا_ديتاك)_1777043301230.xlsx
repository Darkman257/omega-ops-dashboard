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60" firstSheet="3" activeTab="3"/>
  </bookViews>
  <sheets>
    <sheet name="التامينات " sheetId="13" state="hidden" r:id="rId1"/>
    <sheet name="العديات" sheetId="15" state="hidden" r:id="rId2"/>
    <sheet name="المكافئات" sheetId="16" state="hidden" r:id="rId3"/>
    <sheet name="مارس 2026" sheetId="108" r:id="rId4"/>
    <sheet name="Sheet1" sheetId="109" r:id="rId5"/>
  </sheets>
  <definedNames>
    <definedName name="_xlnm._FilterDatabase" localSheetId="3" hidden="1">'مارس 2026'!$A$11:$D$76</definedName>
    <definedName name="_xlnm.Print_Area" localSheetId="3">'مارس 2026'!$A$1:$Y$105</definedName>
    <definedName name="_xlnm.Print_Titles" localSheetId="3">'مارس 2026'!$1:$11</definedName>
  </definedNames>
  <calcPr calcId="152511"/>
</workbook>
</file>

<file path=xl/calcChain.xml><?xml version="1.0" encoding="utf-8"?>
<calcChain xmlns="http://schemas.openxmlformats.org/spreadsheetml/2006/main">
  <c r="D23" i="109" l="1"/>
  <c r="E23" i="109"/>
  <c r="C23" i="109"/>
  <c r="T64" i="108" l="1"/>
  <c r="L64" i="108"/>
  <c r="V64" i="108" l="1"/>
  <c r="C25" i="109"/>
  <c r="T30" i="108"/>
  <c r="L30" i="108"/>
  <c r="L28" i="108"/>
  <c r="L29" i="108"/>
  <c r="T29" i="108"/>
  <c r="V30" i="108" l="1"/>
  <c r="V29" i="108"/>
  <c r="D76" i="108"/>
  <c r="T74" i="108" l="1"/>
  <c r="L74" i="108"/>
  <c r="T62" i="108"/>
  <c r="L62" i="108"/>
  <c r="T56" i="108"/>
  <c r="L56" i="108"/>
  <c r="T55" i="108"/>
  <c r="L55" i="108"/>
  <c r="T40" i="108"/>
  <c r="L40" i="108"/>
  <c r="T34" i="108"/>
  <c r="L34" i="108"/>
  <c r="L52" i="108"/>
  <c r="T28" i="108"/>
  <c r="V28" i="108" s="1"/>
  <c r="T23" i="108"/>
  <c r="L23" i="108"/>
  <c r="L33" i="108"/>
  <c r="T39" i="108"/>
  <c r="L39" i="108"/>
  <c r="L73" i="108"/>
  <c r="L24" i="108"/>
  <c r="L25" i="108"/>
  <c r="L26" i="108"/>
  <c r="L27" i="108"/>
  <c r="L31" i="108"/>
  <c r="L32" i="108"/>
  <c r="L35" i="108"/>
  <c r="L36" i="108"/>
  <c r="L37" i="108"/>
  <c r="L38" i="108"/>
  <c r="L41" i="108"/>
  <c r="L42" i="108"/>
  <c r="L43" i="108"/>
  <c r="L44" i="108"/>
  <c r="L45" i="108"/>
  <c r="L46" i="108"/>
  <c r="L47" i="108"/>
  <c r="L48" i="108"/>
  <c r="L49" i="108"/>
  <c r="L50" i="108"/>
  <c r="L51" i="108"/>
  <c r="L53" i="108"/>
  <c r="L54" i="108"/>
  <c r="L57" i="108"/>
  <c r="L58" i="108"/>
  <c r="L59" i="108"/>
  <c r="L60" i="108"/>
  <c r="L61" i="108"/>
  <c r="L63" i="108"/>
  <c r="L65" i="108"/>
  <c r="L66" i="108"/>
  <c r="L67" i="108"/>
  <c r="L68" i="108"/>
  <c r="L69" i="108"/>
  <c r="L70" i="108"/>
  <c r="L71" i="108"/>
  <c r="L72" i="108"/>
  <c r="V74" i="108" l="1"/>
  <c r="V56" i="108"/>
  <c r="V55" i="108"/>
  <c r="V62" i="108"/>
  <c r="V40" i="108"/>
  <c r="V34" i="108"/>
  <c r="V23" i="108"/>
  <c r="V39" i="108"/>
  <c r="T54" i="108"/>
  <c r="T24" i="108"/>
  <c r="T33" i="108"/>
  <c r="V33" i="108" s="1"/>
  <c r="T13" i="108"/>
  <c r="T14" i="108"/>
  <c r="T15" i="108"/>
  <c r="T16" i="108"/>
  <c r="T17" i="108"/>
  <c r="T18" i="108"/>
  <c r="T19" i="108"/>
  <c r="T20" i="108"/>
  <c r="T21" i="108"/>
  <c r="T22" i="108"/>
  <c r="L13" i="108"/>
  <c r="L14" i="108"/>
  <c r="L15" i="108"/>
  <c r="L16" i="108"/>
  <c r="L17" i="108"/>
  <c r="L18" i="108"/>
  <c r="L19" i="108"/>
  <c r="V54" i="108" l="1"/>
  <c r="V14" i="108"/>
  <c r="V17" i="108"/>
  <c r="V18" i="108"/>
  <c r="V15" i="108"/>
  <c r="V19" i="108"/>
  <c r="V16" i="108"/>
  <c r="V13" i="108"/>
  <c r="T70" i="108"/>
  <c r="T73" i="108"/>
  <c r="T71" i="108"/>
  <c r="T72" i="108"/>
  <c r="L75" i="108"/>
  <c r="T75" i="108"/>
  <c r="V70" i="108" l="1"/>
  <c r="V73" i="108"/>
  <c r="V75" i="108"/>
  <c r="V72" i="108"/>
  <c r="V71" i="108"/>
  <c r="S76" i="108"/>
  <c r="R76" i="108"/>
  <c r="Q76" i="108"/>
  <c r="P76" i="108"/>
  <c r="O76" i="108"/>
  <c r="N76" i="108"/>
  <c r="M76" i="108"/>
  <c r="J76" i="108"/>
  <c r="I76" i="108"/>
  <c r="H76" i="108"/>
  <c r="G76" i="108"/>
  <c r="F76" i="108"/>
  <c r="T69" i="108"/>
  <c r="T68" i="108"/>
  <c r="T67" i="108"/>
  <c r="T66" i="108"/>
  <c r="T65" i="108"/>
  <c r="T63" i="108"/>
  <c r="T61" i="108"/>
  <c r="T60" i="108"/>
  <c r="T59" i="108"/>
  <c r="T58" i="108"/>
  <c r="T57" i="108"/>
  <c r="T53" i="108"/>
  <c r="T52" i="108"/>
  <c r="T51" i="108"/>
  <c r="T50" i="108"/>
  <c r="T49" i="108"/>
  <c r="T48" i="108"/>
  <c r="T47" i="108"/>
  <c r="T46" i="108"/>
  <c r="T45" i="108"/>
  <c r="T44" i="108"/>
  <c r="T43" i="108"/>
  <c r="T42" i="108"/>
  <c r="T41" i="108"/>
  <c r="T38" i="108"/>
  <c r="T37" i="108"/>
  <c r="T36" i="108"/>
  <c r="T35" i="108"/>
  <c r="T32" i="108"/>
  <c r="T31" i="108"/>
  <c r="T27" i="108"/>
  <c r="T26" i="108"/>
  <c r="T25" i="108"/>
  <c r="V24" i="108"/>
  <c r="L22" i="108"/>
  <c r="V22" i="108" s="1"/>
  <c r="L21" i="108"/>
  <c r="V21" i="108" s="1"/>
  <c r="L20" i="108"/>
  <c r="V20" i="108" s="1"/>
  <c r="K76" i="108"/>
  <c r="T12" i="108"/>
  <c r="L12" i="108"/>
  <c r="V41" i="108" l="1"/>
  <c r="V44" i="108"/>
  <c r="V25" i="108"/>
  <c r="V27" i="108"/>
  <c r="V48" i="108"/>
  <c r="V69" i="108"/>
  <c r="V45" i="108"/>
  <c r="V53" i="108"/>
  <c r="V66" i="108"/>
  <c r="V32" i="108"/>
  <c r="V37" i="108"/>
  <c r="V50" i="108"/>
  <c r="V57" i="108"/>
  <c r="V67" i="108"/>
  <c r="V38" i="108"/>
  <c r="V47" i="108"/>
  <c r="V42" i="108"/>
  <c r="V26" i="108"/>
  <c r="V36" i="108"/>
  <c r="V35" i="108"/>
  <c r="V46" i="108"/>
  <c r="V63" i="108"/>
  <c r="V60" i="108"/>
  <c r="V61" i="108"/>
  <c r="V68" i="108"/>
  <c r="V49" i="108"/>
  <c r="V43" i="108"/>
  <c r="V51" i="108"/>
  <c r="V52" i="108"/>
  <c r="V59" i="108"/>
  <c r="V58" i="108"/>
  <c r="V31" i="108"/>
  <c r="T76" i="108"/>
  <c r="L76" i="108"/>
  <c r="V12" i="108"/>
  <c r="V76" i="108" l="1"/>
  <c r="A11" i="13"/>
  <c r="H17" i="15" l="1"/>
  <c r="H18" i="16" l="1"/>
  <c r="E23" i="15" l="1"/>
</calcChain>
</file>

<file path=xl/sharedStrings.xml><?xml version="1.0" encoding="utf-8"?>
<sst xmlns="http://schemas.openxmlformats.org/spreadsheetml/2006/main" count="248" uniqueCount="189">
  <si>
    <t>البيانات</t>
  </si>
  <si>
    <t>الاسقطاعات</t>
  </si>
  <si>
    <t>الصافى</t>
  </si>
  <si>
    <t>رقم الحساب</t>
  </si>
  <si>
    <t>اسم الموظف</t>
  </si>
  <si>
    <t>الراتب الاساسى</t>
  </si>
  <si>
    <t>التامينات</t>
  </si>
  <si>
    <t>الاضافى</t>
  </si>
  <si>
    <t>اجمالى الاضافات</t>
  </si>
  <si>
    <t>صافى المستحق</t>
  </si>
  <si>
    <t>محمد ابراهيم السباعى</t>
  </si>
  <si>
    <t>محمد شفيق</t>
  </si>
  <si>
    <t>م / احمد ابوحسين</t>
  </si>
  <si>
    <t>محمد اسامه</t>
  </si>
  <si>
    <t>عاطف الفيشاوى</t>
  </si>
  <si>
    <t xml:space="preserve">الاجمالى </t>
  </si>
  <si>
    <t>محمد احمد السيد</t>
  </si>
  <si>
    <t>احمد نصار</t>
  </si>
  <si>
    <t xml:space="preserve">سلامه محمد </t>
  </si>
  <si>
    <t xml:space="preserve">ايهاب </t>
  </si>
  <si>
    <t>اسلام الفيشاوى</t>
  </si>
  <si>
    <t>شهاده الميلاد</t>
  </si>
  <si>
    <t xml:space="preserve">صورة البطاقة </t>
  </si>
  <si>
    <t xml:space="preserve">شهاده الجيش </t>
  </si>
  <si>
    <t xml:space="preserve">المؤهل </t>
  </si>
  <si>
    <t xml:space="preserve">الاسم </t>
  </si>
  <si>
    <t xml:space="preserve">استمارات الموظفين  - التامينات </t>
  </si>
  <si>
    <t xml:space="preserve">مبلغ التامين </t>
  </si>
  <si>
    <t xml:space="preserve">مايتحمله صاحب العمل </t>
  </si>
  <si>
    <t xml:space="preserve">مايتحمله الموظف </t>
  </si>
  <si>
    <t>توقيع كل موظف على استمارة 6 - وانه استلم جميع مستحقاته</t>
  </si>
  <si>
    <t>الملاحظات</t>
  </si>
  <si>
    <t>ادارى</t>
  </si>
  <si>
    <t>محاسب</t>
  </si>
  <si>
    <t>عامل</t>
  </si>
  <si>
    <t>مشرف</t>
  </si>
  <si>
    <t>فنى</t>
  </si>
  <si>
    <t xml:space="preserve">محمد البابى </t>
  </si>
  <si>
    <t>الوظيفة</t>
  </si>
  <si>
    <t>عيد الاضحى</t>
  </si>
  <si>
    <t>مسعود اسانسير</t>
  </si>
  <si>
    <t>مصطفى بوفية</t>
  </si>
  <si>
    <t>عم صابر</t>
  </si>
  <si>
    <t>عم احمد و عمرو بوابه 3 + 2</t>
  </si>
  <si>
    <t>خالد اسانسير</t>
  </si>
  <si>
    <t>المبلغ</t>
  </si>
  <si>
    <t xml:space="preserve">تاريخ بدء العمل فى الموقع </t>
  </si>
  <si>
    <t>الراتب</t>
  </si>
  <si>
    <t>مسحوبات خلال 
الشهر</t>
  </si>
  <si>
    <t>التامينات
 الاجتماعية</t>
  </si>
  <si>
    <t>ضريبه كسب
 العمل</t>
  </si>
  <si>
    <t>قسط السلفه</t>
  </si>
  <si>
    <t>خصومات</t>
  </si>
  <si>
    <t>اجمالي الاستقطاعات</t>
  </si>
  <si>
    <t>بدل سكن</t>
  </si>
  <si>
    <t>بدل انتقال</t>
  </si>
  <si>
    <t>البدلات</t>
  </si>
  <si>
    <t>الاجازات</t>
  </si>
  <si>
    <t>الاجمالي</t>
  </si>
  <si>
    <t>الاضافات</t>
  </si>
  <si>
    <t xml:space="preserve">الوظيقة </t>
  </si>
  <si>
    <t>مدير حسابات المشروع</t>
  </si>
  <si>
    <t xml:space="preserve">المشروع / ابراج اوبسيدر تاورز - شركة دبى كابيتال - العاصمة الادارية الجديدة </t>
  </si>
  <si>
    <t>بدل العاصمه</t>
  </si>
  <si>
    <t>مهندس اول تنفيذ</t>
  </si>
  <si>
    <t>مشرف تنفيذ</t>
  </si>
  <si>
    <t>مشرف كهرباء</t>
  </si>
  <si>
    <t>سائق ربع نقل</t>
  </si>
  <si>
    <t>سائق لودر</t>
  </si>
  <si>
    <t>المهندس / محمد حبيش</t>
  </si>
  <si>
    <t>التوقيع/</t>
  </si>
  <si>
    <t>النوقيع/</t>
  </si>
  <si>
    <t>الاستاذ /محمد اسامه</t>
  </si>
  <si>
    <t>مدير المشروعات</t>
  </si>
  <si>
    <t>محمد سعد حسين علي حبيشي</t>
  </si>
  <si>
    <t>محمد حسن  خلاف</t>
  </si>
  <si>
    <t>مدير مشروع</t>
  </si>
  <si>
    <t>مدير مكتب فنى</t>
  </si>
  <si>
    <t>قائد فريق تنفيذ</t>
  </si>
  <si>
    <t>مهندس تنفيذ</t>
  </si>
  <si>
    <t>بسيونى محمد محمود قنطوش</t>
  </si>
  <si>
    <t>مدير  جوده</t>
  </si>
  <si>
    <t>مهندس مكتب فنى</t>
  </si>
  <si>
    <t>مهندس اول مكتب فنى</t>
  </si>
  <si>
    <t xml:space="preserve">منسق وثائق أول </t>
  </si>
  <si>
    <t>منسق وثائق</t>
  </si>
  <si>
    <t xml:space="preserve">أحمد محمد إحسان </t>
  </si>
  <si>
    <t>محاسب أول</t>
  </si>
  <si>
    <t xml:space="preserve">محمد احمد السيد عمران </t>
  </si>
  <si>
    <t>مسئول مشتريات</t>
  </si>
  <si>
    <t xml:space="preserve"> مشرف شئون ادارية </t>
  </si>
  <si>
    <t xml:space="preserve">اخصائي شئون ادارية </t>
  </si>
  <si>
    <t>أمين مخزن</t>
  </si>
  <si>
    <t>مساح اول</t>
  </si>
  <si>
    <t>مساح</t>
  </si>
  <si>
    <t>مدير سلامه وصحة مهنية</t>
  </si>
  <si>
    <t xml:space="preserve">مشرف سلامه وصحة مهنية </t>
  </si>
  <si>
    <t>كهربائى كنترول</t>
  </si>
  <si>
    <t>سائق ملاكى</t>
  </si>
  <si>
    <t>خالد محمد حامد</t>
  </si>
  <si>
    <t xml:space="preserve">مشرف امن </t>
  </si>
  <si>
    <t>محمد منصور عبد العزيز جادوا</t>
  </si>
  <si>
    <t>محمد نبيل عبد البارى الجندي</t>
  </si>
  <si>
    <t>معتز سامى محمد احمد الواعي</t>
  </si>
  <si>
    <t>أحمد نصر خطاب طلحة</t>
  </si>
  <si>
    <t>أحمد عبد المنعم أحمد قنديل</t>
  </si>
  <si>
    <t>أحمد رمضان دسوقى خميس</t>
  </si>
  <si>
    <t xml:space="preserve">م حسابات </t>
  </si>
  <si>
    <t>حافز</t>
  </si>
  <si>
    <t>رقم حساب بنك  CIB</t>
  </si>
  <si>
    <t xml:space="preserve">ملاحظات </t>
  </si>
  <si>
    <t>محمدعبد الغني عبد الفتاح</t>
  </si>
  <si>
    <t>هانئ محمد يوسف ابراهيم احمد</t>
  </si>
  <si>
    <t>أحمد مصطفى مرسي الطاهر</t>
  </si>
  <si>
    <t>أحمد السيد غمرى محمد</t>
  </si>
  <si>
    <t>عبد الرحمن يسرى السيد الفيشاوى</t>
  </si>
  <si>
    <t>كريم حسن رمضان محمد</t>
  </si>
  <si>
    <t xml:space="preserve">أحمد عبد المقصود حسنين ابراهيم </t>
  </si>
  <si>
    <t>مصطفي عمر عبدالعال عمر</t>
  </si>
  <si>
    <t>رضا احمد عبد الحميد  حسن</t>
  </si>
  <si>
    <t>عمرو دياب علوى بدوي</t>
  </si>
  <si>
    <t>صلاح جابر عبد الحليم عبد الحفيظ</t>
  </si>
  <si>
    <t>إسلام امين محمد عوض الله</t>
  </si>
  <si>
    <t>هاشم خالد هاشم عبدالعزيز</t>
  </si>
  <si>
    <t>نادر يحى محمد مصطفي حسن</t>
  </si>
  <si>
    <t>بلال عاطف أبو الفتوح محمد</t>
  </si>
  <si>
    <t>محمود حمدي فتحي محمود</t>
  </si>
  <si>
    <t>محمد سعد عبد المعطى ابوالليف</t>
  </si>
  <si>
    <t>أحمد ناصر حسن ناصر</t>
  </si>
  <si>
    <t>ايمن الداخلى خلف محمد</t>
  </si>
  <si>
    <t>عبد الله عبد الهادى مرسي عبدالرحمن</t>
  </si>
  <si>
    <t>حسن محمد عبد الفتاح ابوعمر</t>
  </si>
  <si>
    <t>طه محمد يسين عبد الهادي</t>
  </si>
  <si>
    <t>أحمد عبد اللاهى محمود مدني</t>
  </si>
  <si>
    <t>رجب لطفي ابو غنيمة محمود</t>
  </si>
  <si>
    <t>ياسر ذكري ابو الزين ذكري</t>
  </si>
  <si>
    <t>عاطف محمد محمد السيد</t>
  </si>
  <si>
    <t>أحمد على عبد الحافظ علي</t>
  </si>
  <si>
    <t>جابر سيد فهيم عبدالعزيز</t>
  </si>
  <si>
    <t>عصام محمد يسرى حسن</t>
  </si>
  <si>
    <t>سيد رشاد محمد حسن</t>
  </si>
  <si>
    <t>أحمد سعيد خميس عبدالعزيز</t>
  </si>
  <si>
    <t>مصطفى عبد العزيز عبد الونيس لطيف</t>
  </si>
  <si>
    <t>ناجى خليفه عبد الهادى جمعة</t>
  </si>
  <si>
    <t>عبدالعزيز عبدالحكم عبدالعزيز معوض</t>
  </si>
  <si>
    <t>محمد أسامه يوسف عثمان</t>
  </si>
  <si>
    <t>محمد حمدى عبدالله علام علي</t>
  </si>
  <si>
    <t xml:space="preserve">عماد حمدى حزين </t>
  </si>
  <si>
    <t>محمد راضي يوسف محمد</t>
  </si>
  <si>
    <t>مهندس جودة</t>
  </si>
  <si>
    <t>محمد عرفات جمعة طه</t>
  </si>
  <si>
    <t>مدير المعدات</t>
  </si>
  <si>
    <t>عبد الرحمن احمد مصلح</t>
  </si>
  <si>
    <t>محمد عبد الباسط محمد</t>
  </si>
  <si>
    <t>عبد الله عزت بدوي</t>
  </si>
  <si>
    <t>محمد عبد الوهاب حنفي</t>
  </si>
  <si>
    <t>محمد صفوت صفوت</t>
  </si>
  <si>
    <t>محمد شعبان محمد</t>
  </si>
  <si>
    <t>هادي محمد عبد الله</t>
  </si>
  <si>
    <t>محمد ابو الليل حسانين</t>
  </si>
  <si>
    <t>حسام سعيد حجازي</t>
  </si>
  <si>
    <t>محمد علي علي احمد</t>
  </si>
  <si>
    <t>تكلفه مرتبات موظفين وسركي عمال مشروع ابراج دبي</t>
  </si>
  <si>
    <t>م</t>
  </si>
  <si>
    <t>البيان</t>
  </si>
  <si>
    <t>مربتات الموظفين</t>
  </si>
  <si>
    <t>مرتبات سركي عمال</t>
  </si>
  <si>
    <t>مرتبات سركي مساحين</t>
  </si>
  <si>
    <t>مرتب شهر ابريل 2025</t>
  </si>
  <si>
    <t>مرتب شهر مايو 2025</t>
  </si>
  <si>
    <t>مرتب شهر يونيو 2025</t>
  </si>
  <si>
    <t>مرتب شهر يوليو 2025</t>
  </si>
  <si>
    <t>مرتب شهر اغسطس 2025</t>
  </si>
  <si>
    <t>مرتب شهر اكتوبر 2025</t>
  </si>
  <si>
    <t>مرتب شهر نوفمبر 2025</t>
  </si>
  <si>
    <t>مرتب شهر ديسمبر 2025</t>
  </si>
  <si>
    <t>مرتب شهر سبتمبر 2025</t>
  </si>
  <si>
    <t>مرتب شهر يناير 2026</t>
  </si>
  <si>
    <t>مرتب شهر فبراير 2026</t>
  </si>
  <si>
    <t>الاجمالي العام المنصرف</t>
  </si>
  <si>
    <t>تاريخ التعيين 31-1</t>
  </si>
  <si>
    <t>تاريخ التعيين 7-2</t>
  </si>
  <si>
    <t>عيد احمد حميدع</t>
  </si>
  <si>
    <t>تركيبات</t>
  </si>
  <si>
    <t>تاريخ التعيين 1-2</t>
  </si>
  <si>
    <t xml:space="preserve">الفتره / شهر مارس - 2026 </t>
  </si>
  <si>
    <t>مرتبات شهر  مارس    - 2026</t>
  </si>
  <si>
    <t>مرتب شهر مارس 2026</t>
  </si>
  <si>
    <t>عبد الرحمن محمد طه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</si>
</sst>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_-* #,##0.00\-;_-* &quot;-&quot;??_-;_-@_-"/>
    <numFmt numFmtId="165" formatCode="_-* #,##0_-;_-* #,##0\-;_-* &quot;-&quot;??_-;_-@_-"/>
    <numFmt numFmtId="166" formatCode="_-* #,##0_-;_-* #,##0\-;_-* &quot;-&quot;??_-;_-@"/>
    <numFmt numFmtId="167" formatCode="_-* #,##0.00_-;_-* #,##0.00\-;_-* &quot;-&quot;??_-;_-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u/>
      <sz val="16"/>
      <color theme="1"/>
      <name val="Calibri"/>
      <family val="2"/>
    </font>
    <font>
      <b/>
      <sz val="16"/>
      <name val="Calibri"/>
      <family val="2"/>
    </font>
    <font>
      <b/>
      <i/>
      <u/>
      <sz val="16"/>
      <color theme="1"/>
      <name val="Calibri"/>
      <family val="2"/>
    </font>
    <font>
      <b/>
      <u/>
      <sz val="16"/>
      <name val="Calibri"/>
      <family val="2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DBE5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45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0" fillId="0" borderId="0" xfId="1" applyNumberFormat="1" applyFont="1"/>
    <xf numFmtId="0" fontId="4" fillId="5" borderId="14" xfId="0" applyFont="1" applyFill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165" fontId="4" fillId="0" borderId="19" xfId="1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65" fontId="6" fillId="7" borderId="18" xfId="2" applyNumberFormat="1" applyFont="1" applyFill="1" applyBorder="1" applyAlignment="1">
      <alignment horizontal="center" vertical="center"/>
    </xf>
    <xf numFmtId="165" fontId="4" fillId="2" borderId="17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165" fontId="4" fillId="0" borderId="10" xfId="1" applyNumberFormat="1" applyFont="1" applyBorder="1" applyAlignment="1">
      <alignment horizontal="center" vertical="center"/>
    </xf>
    <xf numFmtId="165" fontId="4" fillId="0" borderId="23" xfId="1" applyNumberFormat="1" applyFont="1" applyBorder="1" applyAlignment="1">
      <alignment horizontal="center" vertical="center"/>
    </xf>
    <xf numFmtId="165" fontId="4" fillId="0" borderId="7" xfId="1" applyNumberFormat="1" applyFont="1" applyBorder="1" applyAlignment="1">
      <alignment vertical="center"/>
    </xf>
    <xf numFmtId="165" fontId="4" fillId="0" borderId="15" xfId="1" applyNumberFormat="1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65" fontId="4" fillId="2" borderId="29" xfId="1" applyNumberFormat="1" applyFont="1" applyFill="1" applyBorder="1" applyAlignment="1">
      <alignment horizontal="center" vertical="center"/>
    </xf>
    <xf numFmtId="165" fontId="6" fillId="7" borderId="30" xfId="2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165" fontId="4" fillId="7" borderId="2" xfId="1" applyNumberFormat="1" applyFont="1" applyFill="1" applyBorder="1" applyAlignment="1">
      <alignment vertical="center"/>
    </xf>
    <xf numFmtId="165" fontId="4" fillId="7" borderId="3" xfId="0" applyNumberFormat="1" applyFont="1" applyFill="1" applyBorder="1" applyAlignment="1">
      <alignment vertical="center"/>
    </xf>
    <xf numFmtId="165" fontId="4" fillId="2" borderId="19" xfId="1" applyNumberFormat="1" applyFont="1" applyFill="1" applyBorder="1" applyAlignment="1">
      <alignment horizontal="center" vertical="center"/>
    </xf>
    <xf numFmtId="165" fontId="4" fillId="2" borderId="28" xfId="1" applyNumberFormat="1" applyFont="1" applyFill="1" applyBorder="1" applyAlignment="1">
      <alignment horizontal="center" vertical="center"/>
    </xf>
    <xf numFmtId="165" fontId="4" fillId="4" borderId="17" xfId="1" applyNumberFormat="1" applyFont="1" applyFill="1" applyBorder="1" applyAlignment="1">
      <alignment horizontal="center" vertical="center"/>
    </xf>
    <xf numFmtId="165" fontId="6" fillId="4" borderId="18" xfId="2" applyNumberFormat="1" applyFont="1" applyFill="1" applyBorder="1" applyAlignment="1">
      <alignment horizontal="center" vertical="center"/>
    </xf>
    <xf numFmtId="165" fontId="4" fillId="4" borderId="19" xfId="1" applyNumberFormat="1" applyFont="1" applyFill="1" applyBorder="1" applyAlignment="1">
      <alignment horizontal="center" vertical="center"/>
    </xf>
    <xf numFmtId="14" fontId="4" fillId="7" borderId="2" xfId="1" applyNumberFormat="1" applyFont="1" applyFill="1" applyBorder="1" applyAlignment="1">
      <alignment vertical="center"/>
    </xf>
    <xf numFmtId="14" fontId="0" fillId="0" borderId="0" xfId="1" applyNumberFormat="1" applyFont="1"/>
    <xf numFmtId="14" fontId="4" fillId="4" borderId="31" xfId="2" applyNumberFormat="1" applyFont="1" applyFill="1" applyBorder="1" applyAlignment="1">
      <alignment horizontal="center" vertical="center"/>
    </xf>
    <xf numFmtId="165" fontId="4" fillId="4" borderId="31" xfId="1" applyNumberFormat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8" fillId="0" borderId="0" xfId="0" applyFont="1"/>
    <xf numFmtId="0" fontId="10" fillId="8" borderId="0" xfId="0" applyFont="1" applyFill="1" applyAlignment="1">
      <alignment horizontal="center" vertical="center"/>
    </xf>
    <xf numFmtId="166" fontId="9" fillId="0" borderId="0" xfId="0" applyNumberFormat="1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9" fillId="8" borderId="21" xfId="0" applyFont="1" applyFill="1" applyBorder="1" applyAlignment="1">
      <alignment horizontal="center" vertical="center"/>
    </xf>
    <xf numFmtId="0" fontId="9" fillId="8" borderId="53" xfId="0" applyFont="1" applyFill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/>
    </xf>
    <xf numFmtId="0" fontId="9" fillId="8" borderId="52" xfId="0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horizontal="center" vertical="center" wrapText="1"/>
    </xf>
    <xf numFmtId="0" fontId="9" fillId="8" borderId="49" xfId="0" applyFont="1" applyFill="1" applyBorder="1" applyAlignment="1">
      <alignment horizontal="center" vertical="center"/>
    </xf>
    <xf numFmtId="0" fontId="9" fillId="8" borderId="50" xfId="0" applyFont="1" applyFill="1" applyBorder="1" applyAlignment="1">
      <alignment horizontal="center" vertical="center"/>
    </xf>
    <xf numFmtId="0" fontId="9" fillId="8" borderId="52" xfId="0" applyFont="1" applyFill="1" applyBorder="1" applyAlignment="1">
      <alignment horizontal="center" vertical="center"/>
    </xf>
    <xf numFmtId="0" fontId="9" fillId="10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166" fontId="11" fillId="0" borderId="42" xfId="0" applyNumberFormat="1" applyFont="1" applyBorder="1" applyAlignment="1">
      <alignment horizontal="center" vertical="center"/>
    </xf>
    <xf numFmtId="166" fontId="9" fillId="0" borderId="8" xfId="0" applyNumberFormat="1" applyFont="1" applyBorder="1" applyAlignment="1">
      <alignment horizontal="center" vertical="center"/>
    </xf>
    <xf numFmtId="166" fontId="9" fillId="7" borderId="8" xfId="0" applyNumberFormat="1" applyFont="1" applyFill="1" applyBorder="1" applyAlignment="1">
      <alignment horizontal="center" vertical="center"/>
    </xf>
    <xf numFmtId="166" fontId="13" fillId="0" borderId="41" xfId="0" applyNumberFormat="1" applyFont="1" applyBorder="1" applyAlignment="1">
      <alignment horizontal="center" vertical="center"/>
    </xf>
    <xf numFmtId="166" fontId="13" fillId="0" borderId="43" xfId="0" applyNumberFormat="1" applyFont="1" applyBorder="1" applyAlignment="1">
      <alignment horizontal="center" vertical="center"/>
    </xf>
    <xf numFmtId="166" fontId="11" fillId="0" borderId="44" xfId="0" applyNumberFormat="1" applyFont="1" applyBorder="1" applyAlignment="1">
      <alignment horizontal="center" vertical="center"/>
    </xf>
    <xf numFmtId="166" fontId="9" fillId="0" borderId="45" xfId="0" applyNumberFormat="1" applyFont="1" applyBorder="1" applyAlignment="1">
      <alignment horizontal="center" vertical="center"/>
    </xf>
    <xf numFmtId="166" fontId="9" fillId="0" borderId="51" xfId="0" applyNumberFormat="1" applyFont="1" applyBorder="1" applyAlignment="1">
      <alignment horizontal="center" vertical="center"/>
    </xf>
    <xf numFmtId="166" fontId="11" fillId="11" borderId="47" xfId="0" applyNumberFormat="1" applyFont="1" applyFill="1" applyBorder="1" applyAlignment="1">
      <alignment horizontal="center" vertical="center"/>
    </xf>
    <xf numFmtId="166" fontId="11" fillId="11" borderId="48" xfId="0" applyNumberFormat="1" applyFont="1" applyFill="1" applyBorder="1" applyAlignment="1">
      <alignment vertical="center"/>
    </xf>
    <xf numFmtId="166" fontId="9" fillId="11" borderId="8" xfId="0" applyNumberFormat="1" applyFont="1" applyFill="1" applyBorder="1" applyAlignment="1">
      <alignment horizontal="center" vertical="center"/>
    </xf>
    <xf numFmtId="166" fontId="9" fillId="12" borderId="54" xfId="0" applyNumberFormat="1" applyFont="1" applyFill="1" applyBorder="1" applyAlignment="1">
      <alignment vertical="center"/>
    </xf>
    <xf numFmtId="166" fontId="9" fillId="0" borderId="55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0" fontId="12" fillId="9" borderId="1" xfId="0" applyFont="1" applyFill="1" applyBorder="1" applyAlignment="1">
      <alignment vertical="center"/>
    </xf>
    <xf numFmtId="167" fontId="9" fillId="0" borderId="8" xfId="0" applyNumberFormat="1" applyFont="1" applyBorder="1" applyAlignment="1">
      <alignment horizontal="center" vertical="center"/>
    </xf>
    <xf numFmtId="166" fontId="9" fillId="2" borderId="8" xfId="0" applyNumberFormat="1" applyFont="1" applyFill="1" applyBorder="1" applyAlignment="1">
      <alignment horizontal="center" vertical="center"/>
    </xf>
    <xf numFmtId="167" fontId="9" fillId="0" borderId="51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4" fillId="0" borderId="8" xfId="0" applyFont="1" applyBorder="1"/>
    <xf numFmtId="0" fontId="14" fillId="0" borderId="8" xfId="0" applyFont="1" applyBorder="1" applyAlignment="1">
      <alignment horizontal="center" vertical="center"/>
    </xf>
    <xf numFmtId="164" fontId="14" fillId="0" borderId="8" xfId="1" applyFont="1" applyBorder="1"/>
    <xf numFmtId="164" fontId="14" fillId="1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8" fillId="0" borderId="8" xfId="0" applyFont="1" applyBorder="1" applyAlignment="1">
      <alignment horizontal="center" vertical="center"/>
    </xf>
    <xf numFmtId="166" fontId="9" fillId="0" borderId="8" xfId="0" applyNumberFormat="1" applyFont="1" applyFill="1" applyBorder="1" applyAlignment="1">
      <alignment horizontal="center" vertical="center"/>
    </xf>
    <xf numFmtId="166" fontId="13" fillId="0" borderId="41" xfId="0" applyNumberFormat="1" applyFont="1" applyFill="1" applyBorder="1" applyAlignment="1">
      <alignment horizontal="center" vertical="center"/>
    </xf>
    <xf numFmtId="166" fontId="13" fillId="0" borderId="43" xfId="0" applyNumberFormat="1" applyFont="1" applyFill="1" applyBorder="1" applyAlignment="1">
      <alignment horizontal="center" vertical="center"/>
    </xf>
    <xf numFmtId="166" fontId="9" fillId="2" borderId="0" xfId="0" applyNumberFormat="1" applyFont="1" applyFill="1" applyAlignment="1">
      <alignment horizontal="center" vertical="center"/>
    </xf>
    <xf numFmtId="166" fontId="11" fillId="2" borderId="42" xfId="0" applyNumberFormat="1" applyFont="1" applyFill="1" applyBorder="1" applyAlignment="1">
      <alignment horizontal="center" vertical="center"/>
    </xf>
    <xf numFmtId="166" fontId="13" fillId="2" borderId="41" xfId="0" applyNumberFormat="1" applyFont="1" applyFill="1" applyBorder="1" applyAlignment="1">
      <alignment horizontal="center" vertical="center"/>
    </xf>
    <xf numFmtId="166" fontId="13" fillId="2" borderId="43" xfId="0" applyNumberFormat="1" applyFont="1" applyFill="1" applyBorder="1" applyAlignment="1">
      <alignment horizontal="center" vertical="center"/>
    </xf>
    <xf numFmtId="166" fontId="11" fillId="2" borderId="44" xfId="0" applyNumberFormat="1" applyFont="1" applyFill="1" applyBorder="1" applyAlignment="1">
      <alignment horizontal="center" vertical="center"/>
    </xf>
    <xf numFmtId="167" fontId="9" fillId="2" borderId="51" xfId="0" applyNumberFormat="1" applyFont="1" applyFill="1" applyBorder="1" applyAlignment="1">
      <alignment horizontal="center" vertical="center"/>
    </xf>
    <xf numFmtId="1" fontId="9" fillId="2" borderId="8" xfId="0" applyNumberFormat="1" applyFont="1" applyFill="1" applyBorder="1" applyAlignment="1">
      <alignment horizontal="center" vertical="center"/>
    </xf>
    <xf numFmtId="166" fontId="9" fillId="2" borderId="45" xfId="0" applyNumberFormat="1" applyFont="1" applyFill="1" applyBorder="1" applyAlignment="1">
      <alignment horizontal="center" vertical="center"/>
    </xf>
    <xf numFmtId="0" fontId="8" fillId="2" borderId="0" xfId="0" applyFont="1" applyFill="1"/>
    <xf numFmtId="166" fontId="9" fillId="14" borderId="8" xfId="0" applyNumberFormat="1" applyFont="1" applyFill="1" applyBorder="1" applyAlignment="1">
      <alignment horizontal="center" vertical="center"/>
    </xf>
    <xf numFmtId="1" fontId="9" fillId="14" borderId="8" xfId="0" applyNumberFormat="1" applyFont="1" applyFill="1" applyBorder="1" applyAlignment="1">
      <alignment horizontal="center" vertical="center"/>
    </xf>
    <xf numFmtId="166" fontId="9" fillId="14" borderId="45" xfId="0" applyNumberFormat="1" applyFont="1" applyFill="1" applyBorder="1" applyAlignment="1">
      <alignment horizontal="center" vertical="center"/>
    </xf>
    <xf numFmtId="166" fontId="9" fillId="2" borderId="55" xfId="0" applyNumberFormat="1" applyFont="1" applyFill="1" applyBorder="1" applyAlignment="1">
      <alignment horizontal="center" vertical="center"/>
    </xf>
    <xf numFmtId="166" fontId="9" fillId="2" borderId="45" xfId="0" applyNumberFormat="1" applyFont="1" applyFill="1" applyBorder="1" applyAlignment="1">
      <alignment horizontal="right" vertical="center"/>
    </xf>
    <xf numFmtId="166" fontId="9" fillId="14" borderId="55" xfId="0" applyNumberFormat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166" fontId="11" fillId="11" borderId="46" xfId="0" applyNumberFormat="1" applyFont="1" applyFill="1" applyBorder="1" applyAlignment="1">
      <alignment horizontal="center" vertical="center"/>
    </xf>
    <xf numFmtId="166" fontId="11" fillId="11" borderId="45" xfId="0" applyNumberFormat="1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1" fillId="0" borderId="33" xfId="0" applyFont="1" applyBorder="1"/>
    <xf numFmtId="0" fontId="11" fillId="0" borderId="34" xfId="0" applyFont="1" applyBorder="1"/>
    <xf numFmtId="0" fontId="11" fillId="0" borderId="35" xfId="0" applyFont="1" applyBorder="1"/>
    <xf numFmtId="0" fontId="11" fillId="0" borderId="36" xfId="0" applyFont="1" applyBorder="1"/>
    <xf numFmtId="0" fontId="11" fillId="0" borderId="37" xfId="0" applyFont="1" applyBorder="1"/>
    <xf numFmtId="0" fontId="12" fillId="9" borderId="38" xfId="0" applyFont="1" applyFill="1" applyBorder="1" applyAlignment="1">
      <alignment horizontal="center" vertical="center"/>
    </xf>
    <xf numFmtId="0" fontId="11" fillId="0" borderId="39" xfId="0" applyFont="1" applyBorder="1"/>
    <xf numFmtId="0" fontId="11" fillId="0" borderId="40" xfId="0" applyFont="1" applyBorder="1"/>
    <xf numFmtId="0" fontId="14" fillId="13" borderId="56" xfId="0" applyFont="1" applyFill="1" applyBorder="1" applyAlignment="1">
      <alignment horizontal="center" vertical="center" wrapText="1"/>
    </xf>
    <xf numFmtId="0" fontId="14" fillId="13" borderId="26" xfId="0" applyFont="1" applyFill="1" applyBorder="1" applyAlignment="1">
      <alignment horizontal="center" vertical="center" wrapText="1"/>
    </xf>
    <xf numFmtId="164" fontId="14" fillId="13" borderId="56" xfId="0" applyNumberFormat="1" applyFont="1" applyFill="1" applyBorder="1" applyAlignment="1">
      <alignment horizontal="center" vertical="center"/>
    </xf>
    <xf numFmtId="164" fontId="14" fillId="13" borderId="57" xfId="0" applyNumberFormat="1" applyFont="1" applyFill="1" applyBorder="1" applyAlignment="1">
      <alignment horizontal="center" vertical="center"/>
    </xf>
    <xf numFmtId="164" fontId="14" fillId="13" borderId="26" xfId="0" applyNumberFormat="1" applyFont="1" applyFill="1" applyBorder="1" applyAlignment="1">
      <alignment horizontal="center" vertical="center"/>
    </xf>
    <xf numFmtId="0" fontId="14" fillId="0" borderId="58" xfId="0" applyFont="1" applyBorder="1" applyAlignment="1">
      <alignment horizontal="righ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1809750</xdr:colOff>
      <xdr:row>4</xdr:row>
      <xdr:rowOff>180974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01" r="11556"/>
        <a:stretch/>
      </xdr:blipFill>
      <xdr:spPr bwMode="auto">
        <a:xfrm>
          <a:off x="11233584975" y="390525"/>
          <a:ext cx="1809750" cy="143827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123824</xdr:rowOff>
    </xdr:from>
    <xdr:to>
      <xdr:col>4</xdr:col>
      <xdr:colOff>85725</xdr:colOff>
      <xdr:row>4</xdr:row>
      <xdr:rowOff>180973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01" r="11556"/>
        <a:stretch/>
      </xdr:blipFill>
      <xdr:spPr bwMode="auto">
        <a:xfrm>
          <a:off x="11233775475" y="123824"/>
          <a:ext cx="2038350" cy="13144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86</xdr:row>
      <xdr:rowOff>24473</xdr:rowOff>
    </xdr:from>
    <xdr:to>
      <xdr:col>23</xdr:col>
      <xdr:colOff>157679</xdr:colOff>
      <xdr:row>104</xdr:row>
      <xdr:rowOff>129037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3DC37983-C9EE-42AB-8101-954585B9EA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2" t="83072" r="146" b="231"/>
        <a:stretch>
          <a:fillRect/>
        </a:stretch>
      </xdr:blipFill>
      <xdr:spPr bwMode="auto">
        <a:xfrm>
          <a:off x="16318850493" y="36309528"/>
          <a:ext cx="28926058" cy="359590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32658</xdr:colOff>
      <xdr:row>1</xdr:row>
      <xdr:rowOff>239486</xdr:rowOff>
    </xdr:from>
    <xdr:to>
      <xdr:col>3</xdr:col>
      <xdr:colOff>1300067</xdr:colOff>
      <xdr:row>4</xdr:row>
      <xdr:rowOff>194296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20D87EF2-CB4F-3353-5DC0-36AF7EBC1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25951799" y="511629"/>
          <a:ext cx="7772400" cy="16856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120650</xdr:colOff>
      <xdr:row>7</xdr:row>
      <xdr:rowOff>146050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20D87EF2-CB4F-3353-5DC0-36AF7EBC1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9638000" y="0"/>
          <a:ext cx="4019550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rightToLeft="1" topLeftCell="A4" zoomScaleNormal="100" workbookViewId="0">
      <selection activeCell="A11" sqref="A11:A12"/>
    </sheetView>
  </sheetViews>
  <sheetFormatPr defaultRowHeight="15" x14ac:dyDescent="0.25"/>
  <cols>
    <col min="3" max="3" width="40.42578125" customWidth="1"/>
    <col min="4" max="6" width="20.85546875" hidden="1" customWidth="1"/>
    <col min="7" max="7" width="12" customWidth="1"/>
    <col min="8" max="8" width="4.28515625" customWidth="1"/>
    <col min="9" max="9" width="11.7109375" bestFit="1" customWidth="1"/>
    <col min="10" max="10" width="21" bestFit="1" customWidth="1"/>
    <col min="11" max="11" width="16.5703125" bestFit="1" customWidth="1"/>
    <col min="12" max="12" width="11.28515625" customWidth="1"/>
  </cols>
  <sheetData>
    <row r="1" spans="1:12" ht="15.75" thickBot="1" x14ac:dyDescent="0.3"/>
    <row r="2" spans="1:12" x14ac:dyDescent="0.25">
      <c r="C2" s="111" t="s">
        <v>26</v>
      </c>
      <c r="D2" s="112"/>
      <c r="E2" s="112"/>
      <c r="F2" s="112"/>
      <c r="G2" s="113"/>
    </row>
    <row r="3" spans="1:12" ht="15.75" thickBot="1" x14ac:dyDescent="0.3">
      <c r="C3" s="114"/>
      <c r="D3" s="115"/>
      <c r="E3" s="115"/>
      <c r="F3" s="115"/>
      <c r="G3" s="116"/>
    </row>
    <row r="4" spans="1:12" ht="15.75" thickBot="1" x14ac:dyDescent="0.3"/>
    <row r="5" spans="1:12" s="13" customFormat="1" ht="29.25" customHeight="1" thickBot="1" x14ac:dyDescent="0.3">
      <c r="B5" s="5" t="s">
        <v>38</v>
      </c>
      <c r="C5" s="20" t="s">
        <v>25</v>
      </c>
      <c r="D5" s="21" t="s">
        <v>21</v>
      </c>
      <c r="E5" s="21" t="s">
        <v>22</v>
      </c>
      <c r="F5" s="21" t="s">
        <v>23</v>
      </c>
      <c r="G5" s="22" t="s">
        <v>24</v>
      </c>
      <c r="H5" s="14"/>
      <c r="I5" s="25" t="s">
        <v>27</v>
      </c>
      <c r="J5" s="26" t="s">
        <v>28</v>
      </c>
      <c r="K5" s="26" t="s">
        <v>29</v>
      </c>
      <c r="L5" s="27" t="s">
        <v>31</v>
      </c>
    </row>
    <row r="6" spans="1:12" s="13" customFormat="1" ht="43.5" customHeight="1" x14ac:dyDescent="0.25">
      <c r="A6" s="13">
        <v>1</v>
      </c>
      <c r="B6" s="16" t="s">
        <v>32</v>
      </c>
      <c r="C6" s="49" t="s">
        <v>10</v>
      </c>
      <c r="D6" s="17"/>
      <c r="E6" s="17"/>
      <c r="F6" s="17"/>
      <c r="G6" s="18"/>
      <c r="H6" s="14"/>
      <c r="I6" s="28">
        <v>300</v>
      </c>
      <c r="J6" s="29">
        <v>200</v>
      </c>
      <c r="K6" s="29">
        <v>100</v>
      </c>
      <c r="L6" s="117" t="s">
        <v>30</v>
      </c>
    </row>
    <row r="7" spans="1:12" s="13" customFormat="1" ht="43.5" customHeight="1" x14ac:dyDescent="0.25">
      <c r="A7" s="13">
        <v>2</v>
      </c>
      <c r="B7" s="16" t="s">
        <v>33</v>
      </c>
      <c r="C7" s="50" t="s">
        <v>13</v>
      </c>
      <c r="D7" s="16"/>
      <c r="E7" s="16"/>
      <c r="F7" s="16"/>
      <c r="G7" s="19"/>
      <c r="H7" s="14"/>
      <c r="I7" s="30">
        <v>300</v>
      </c>
      <c r="J7" s="6">
        <v>200</v>
      </c>
      <c r="K7" s="6">
        <v>100</v>
      </c>
      <c r="L7" s="118"/>
    </row>
    <row r="8" spans="1:12" s="13" customFormat="1" ht="43.5" customHeight="1" x14ac:dyDescent="0.25">
      <c r="A8" s="13">
        <v>3</v>
      </c>
      <c r="B8" s="16" t="s">
        <v>34</v>
      </c>
      <c r="C8" s="50" t="s">
        <v>16</v>
      </c>
      <c r="D8" s="16"/>
      <c r="E8" s="16"/>
      <c r="F8" s="16"/>
      <c r="G8" s="19"/>
      <c r="H8" s="14"/>
      <c r="I8" s="30">
        <v>300</v>
      </c>
      <c r="J8" s="6">
        <v>200</v>
      </c>
      <c r="K8" s="6">
        <v>100</v>
      </c>
      <c r="L8" s="118"/>
    </row>
    <row r="9" spans="1:12" s="13" customFormat="1" ht="43.5" customHeight="1" x14ac:dyDescent="0.25">
      <c r="A9" s="13">
        <v>4</v>
      </c>
      <c r="B9" s="16" t="s">
        <v>34</v>
      </c>
      <c r="C9" s="50" t="s">
        <v>18</v>
      </c>
      <c r="D9" s="16"/>
      <c r="E9" s="16"/>
      <c r="F9" s="16"/>
      <c r="G9" s="19"/>
      <c r="H9" s="14"/>
      <c r="I9" s="30">
        <v>300</v>
      </c>
      <c r="J9" s="6">
        <v>200</v>
      </c>
      <c r="K9" s="6">
        <v>100</v>
      </c>
      <c r="L9" s="118"/>
    </row>
    <row r="10" spans="1:12" s="13" customFormat="1" ht="43.5" customHeight="1" x14ac:dyDescent="0.25">
      <c r="A10" s="13">
        <v>5</v>
      </c>
      <c r="B10" s="16" t="s">
        <v>35</v>
      </c>
      <c r="C10" s="50" t="s">
        <v>14</v>
      </c>
      <c r="D10" s="16"/>
      <c r="E10" s="16"/>
      <c r="F10" s="16"/>
      <c r="G10" s="19"/>
      <c r="H10" s="14"/>
      <c r="I10" s="30">
        <v>300</v>
      </c>
      <c r="J10" s="6">
        <v>200</v>
      </c>
      <c r="K10" s="6">
        <v>100</v>
      </c>
      <c r="L10" s="118"/>
    </row>
    <row r="11" spans="1:12" s="13" customFormat="1" ht="43.5" customHeight="1" x14ac:dyDescent="0.25">
      <c r="A11" s="13">
        <f>5*300</f>
        <v>1500</v>
      </c>
      <c r="B11" s="16" t="s">
        <v>35</v>
      </c>
      <c r="C11" s="33" t="s">
        <v>20</v>
      </c>
      <c r="D11" s="16"/>
      <c r="E11" s="16"/>
      <c r="F11" s="16"/>
      <c r="G11" s="19"/>
      <c r="H11" s="14"/>
      <c r="I11" s="30">
        <v>300</v>
      </c>
      <c r="J11" s="6">
        <v>200</v>
      </c>
      <c r="K11" s="6">
        <v>100</v>
      </c>
      <c r="L11" s="118"/>
    </row>
    <row r="12" spans="1:12" ht="43.5" customHeight="1" thickBot="1" x14ac:dyDescent="0.3">
      <c r="A12" s="13">
        <v>600</v>
      </c>
      <c r="B12" s="16" t="s">
        <v>36</v>
      </c>
      <c r="C12" s="34" t="s">
        <v>37</v>
      </c>
      <c r="D12" s="23"/>
      <c r="E12" s="23"/>
      <c r="F12" s="23"/>
      <c r="G12" s="24"/>
      <c r="H12" s="15"/>
      <c r="I12" s="31">
        <v>300</v>
      </c>
      <c r="J12" s="32">
        <v>200</v>
      </c>
      <c r="K12" s="32">
        <v>100</v>
      </c>
      <c r="L12" s="119"/>
    </row>
    <row r="13" spans="1:12" ht="27.75" customHeight="1" x14ac:dyDescent="0.25"/>
    <row r="14" spans="1:12" ht="30.75" customHeight="1" x14ac:dyDescent="0.25"/>
  </sheetData>
  <mergeCells count="2">
    <mergeCell ref="C2:G3"/>
    <mergeCell ref="L6:L12"/>
  </mergeCells>
  <pageMargins left="0.70866141732283472" right="0.70866141732283472" top="0.74803149606299213" bottom="0.74803149606299213" header="0.31496062992125984" footer="0.31496062992125984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25"/>
  <sheetViews>
    <sheetView rightToLeft="1" workbookViewId="0">
      <selection activeCell="E10" sqref="E10"/>
    </sheetView>
  </sheetViews>
  <sheetFormatPr defaultRowHeight="15" x14ac:dyDescent="0.25"/>
  <cols>
    <col min="1" max="1" width="1.85546875" customWidth="1"/>
    <col min="2" max="2" width="1.5703125" customWidth="1"/>
    <col min="3" max="3" width="11.5703125" bestFit="1" customWidth="1"/>
    <col min="4" max="4" width="25.5703125" bestFit="1" customWidth="1"/>
    <col min="5" max="5" width="15" bestFit="1" customWidth="1"/>
    <col min="7" max="7" width="14.7109375" customWidth="1"/>
    <col min="8" max="8" width="6.5703125" bestFit="1" customWidth="1"/>
    <col min="11" max="11" width="4.7109375" customWidth="1"/>
  </cols>
  <sheetData>
    <row r="1" spans="3:5" ht="30.75" customHeight="1" x14ac:dyDescent="0.25"/>
    <row r="2" spans="3:5" ht="30.75" customHeight="1" x14ac:dyDescent="0.25"/>
    <row r="3" spans="3:5" ht="30.75" customHeight="1" x14ac:dyDescent="0.25"/>
    <row r="4" spans="3:5" ht="6.75" customHeight="1" x14ac:dyDescent="0.25"/>
    <row r="5" spans="3:5" ht="30.75" customHeight="1" thickBot="1" x14ac:dyDescent="0.3"/>
    <row r="6" spans="3:5" s="1" customFormat="1" ht="30.75" customHeight="1" thickBot="1" x14ac:dyDescent="0.3">
      <c r="C6" s="120" t="s">
        <v>0</v>
      </c>
      <c r="D6" s="121"/>
      <c r="E6" s="122"/>
    </row>
    <row r="7" spans="3:5" s="1" customFormat="1" ht="14.25" customHeight="1" thickBot="1" x14ac:dyDescent="0.3"/>
    <row r="8" spans="3:5" s="2" customFormat="1" ht="30.75" customHeight="1" thickBot="1" x14ac:dyDescent="0.3">
      <c r="C8" s="8" t="s">
        <v>3</v>
      </c>
      <c r="D8" s="9" t="s">
        <v>4</v>
      </c>
      <c r="E8" s="10" t="s">
        <v>39</v>
      </c>
    </row>
    <row r="9" spans="3:5" s="3" customFormat="1" ht="29.25" customHeight="1" x14ac:dyDescent="0.25">
      <c r="C9" s="12">
        <v>1</v>
      </c>
      <c r="D9" s="11" t="s">
        <v>10</v>
      </c>
      <c r="E9" s="40">
        <v>500</v>
      </c>
    </row>
    <row r="10" spans="3:5" s="3" customFormat="1" ht="29.25" customHeight="1" x14ac:dyDescent="0.25">
      <c r="C10" s="12">
        <v>2</v>
      </c>
      <c r="D10" s="11" t="s">
        <v>11</v>
      </c>
      <c r="E10" s="40">
        <v>400</v>
      </c>
    </row>
    <row r="11" spans="3:5" s="3" customFormat="1" ht="29.25" customHeight="1" x14ac:dyDescent="0.25">
      <c r="C11" s="12">
        <v>3</v>
      </c>
      <c r="D11" s="11" t="s">
        <v>12</v>
      </c>
      <c r="E11" s="7">
        <v>0</v>
      </c>
    </row>
    <row r="12" spans="3:5" s="3" customFormat="1" ht="29.25" customHeight="1" x14ac:dyDescent="0.25">
      <c r="C12" s="12">
        <v>4</v>
      </c>
      <c r="D12" s="11" t="s">
        <v>17</v>
      </c>
      <c r="E12" s="7">
        <v>300</v>
      </c>
    </row>
    <row r="13" spans="3:5" s="3" customFormat="1" ht="29.25" customHeight="1" x14ac:dyDescent="0.25">
      <c r="C13" s="12">
        <v>5</v>
      </c>
      <c r="D13" s="11" t="s">
        <v>13</v>
      </c>
      <c r="E13" s="40">
        <v>300</v>
      </c>
    </row>
    <row r="14" spans="3:5" s="3" customFormat="1" ht="29.25" customHeight="1" x14ac:dyDescent="0.25">
      <c r="C14" s="12">
        <v>6</v>
      </c>
      <c r="D14" s="11" t="s">
        <v>16</v>
      </c>
      <c r="E14" s="40">
        <v>500</v>
      </c>
    </row>
    <row r="15" spans="3:5" s="3" customFormat="1" ht="29.25" customHeight="1" x14ac:dyDescent="0.25">
      <c r="C15" s="12">
        <v>7</v>
      </c>
      <c r="D15" s="11" t="s">
        <v>18</v>
      </c>
      <c r="E15" s="40">
        <v>300</v>
      </c>
    </row>
    <row r="16" spans="3:5" s="3" customFormat="1" ht="29.25" customHeight="1" x14ac:dyDescent="0.25">
      <c r="C16" s="12">
        <v>8</v>
      </c>
      <c r="D16" s="11" t="s">
        <v>19</v>
      </c>
      <c r="E16" s="7">
        <v>300</v>
      </c>
    </row>
    <row r="17" spans="3:8" s="3" customFormat="1" ht="29.25" customHeight="1" x14ac:dyDescent="0.25">
      <c r="C17" s="12">
        <v>9</v>
      </c>
      <c r="D17" s="11" t="s">
        <v>14</v>
      </c>
      <c r="E17" s="7"/>
      <c r="F17" s="3">
        <v>300</v>
      </c>
      <c r="H17" s="3">
        <f>990+990</f>
        <v>1980</v>
      </c>
    </row>
    <row r="18" spans="3:8" s="3" customFormat="1" ht="29.25" customHeight="1" x14ac:dyDescent="0.25">
      <c r="C18" s="12">
        <v>10</v>
      </c>
      <c r="D18" s="11" t="s">
        <v>40</v>
      </c>
      <c r="E18" s="40">
        <v>100</v>
      </c>
    </row>
    <row r="19" spans="3:8" s="3" customFormat="1" ht="29.25" customHeight="1" x14ac:dyDescent="0.25">
      <c r="C19" s="12">
        <v>11</v>
      </c>
      <c r="D19" s="11" t="s">
        <v>41</v>
      </c>
      <c r="E19" s="40">
        <v>200</v>
      </c>
    </row>
    <row r="20" spans="3:8" s="3" customFormat="1" ht="29.25" customHeight="1" x14ac:dyDescent="0.25">
      <c r="C20" s="12">
        <v>12</v>
      </c>
      <c r="D20" s="11" t="s">
        <v>42</v>
      </c>
      <c r="E20" s="40">
        <v>200</v>
      </c>
    </row>
    <row r="21" spans="3:8" s="3" customFormat="1" ht="28.5" customHeight="1" x14ac:dyDescent="0.25">
      <c r="C21" s="12">
        <v>13</v>
      </c>
      <c r="D21" s="11" t="s">
        <v>43</v>
      </c>
      <c r="E21" s="7">
        <v>100</v>
      </c>
    </row>
    <row r="22" spans="3:8" s="3" customFormat="1" ht="28.5" customHeight="1" thickBot="1" x14ac:dyDescent="0.3">
      <c r="C22" s="35">
        <v>14</v>
      </c>
      <c r="D22" s="36" t="s">
        <v>44</v>
      </c>
      <c r="E22" s="41">
        <v>100</v>
      </c>
    </row>
    <row r="23" spans="3:8" ht="28.5" customHeight="1" thickBot="1" x14ac:dyDescent="0.3">
      <c r="C23" s="37"/>
      <c r="D23" s="38" t="s">
        <v>15</v>
      </c>
      <c r="E23" s="39">
        <f>SUM(E9:E22)</f>
        <v>3300</v>
      </c>
    </row>
    <row r="24" spans="3:8" x14ac:dyDescent="0.25">
      <c r="D24" s="4"/>
    </row>
    <row r="25" spans="3:8" x14ac:dyDescent="0.25">
      <c r="D25" s="4"/>
    </row>
  </sheetData>
  <mergeCells count="1">
    <mergeCell ref="C6:E6"/>
  </mergeCells>
  <hyperlinks>
    <hyperlink ref="D9" location="'محمج ابراهيم السباعى'!A1" display="محمد ابراهيم السباعى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20"/>
  <sheetViews>
    <sheetView rightToLeft="1" topLeftCell="A7" workbookViewId="0">
      <selection activeCell="E17" sqref="E17"/>
    </sheetView>
  </sheetViews>
  <sheetFormatPr defaultRowHeight="15" x14ac:dyDescent="0.25"/>
  <cols>
    <col min="1" max="1" width="1.85546875" customWidth="1"/>
    <col min="2" max="2" width="1.5703125" customWidth="1"/>
    <col min="3" max="3" width="11.5703125" bestFit="1" customWidth="1"/>
    <col min="4" max="4" width="25.5703125" bestFit="1" customWidth="1"/>
    <col min="5" max="5" width="25.5703125" customWidth="1"/>
    <col min="6" max="7" width="11.42578125" customWidth="1"/>
    <col min="8" max="8" width="15" bestFit="1" customWidth="1"/>
  </cols>
  <sheetData>
    <row r="1" spans="3:8" ht="30.75" customHeight="1" x14ac:dyDescent="0.25"/>
    <row r="2" spans="3:8" ht="30.75" customHeight="1" x14ac:dyDescent="0.25"/>
    <row r="3" spans="3:8" ht="30.75" customHeight="1" x14ac:dyDescent="0.25"/>
    <row r="4" spans="3:8" ht="6.75" customHeight="1" x14ac:dyDescent="0.25"/>
    <row r="5" spans="3:8" ht="30.75" customHeight="1" thickBot="1" x14ac:dyDescent="0.3"/>
    <row r="6" spans="3:8" s="1" customFormat="1" ht="30.75" customHeight="1" thickBot="1" x14ac:dyDescent="0.3">
      <c r="C6" s="120" t="s">
        <v>0</v>
      </c>
      <c r="D6" s="121"/>
      <c r="E6" s="121"/>
      <c r="F6" s="121"/>
      <c r="G6" s="121"/>
      <c r="H6" s="122"/>
    </row>
    <row r="7" spans="3:8" s="1" customFormat="1" ht="14.25" customHeight="1" thickBot="1" x14ac:dyDescent="0.3"/>
    <row r="8" spans="3:8" s="2" customFormat="1" ht="30.75" customHeight="1" thickBot="1" x14ac:dyDescent="0.3">
      <c r="C8" s="8" t="s">
        <v>3</v>
      </c>
      <c r="D8" s="9" t="s">
        <v>4</v>
      </c>
      <c r="E8" s="9" t="s">
        <v>46</v>
      </c>
      <c r="F8" s="9" t="s">
        <v>47</v>
      </c>
      <c r="G8" s="9" t="s">
        <v>47</v>
      </c>
      <c r="H8" s="10" t="s">
        <v>45</v>
      </c>
    </row>
    <row r="9" spans="3:8" s="3" customFormat="1" ht="29.25" customHeight="1" x14ac:dyDescent="0.25">
      <c r="C9" s="42">
        <v>1</v>
      </c>
      <c r="D9" s="43" t="s">
        <v>10</v>
      </c>
      <c r="E9" s="47">
        <v>43388</v>
      </c>
      <c r="F9" s="48">
        <v>8000</v>
      </c>
      <c r="G9" s="48">
        <v>17500</v>
      </c>
      <c r="H9" s="44"/>
    </row>
    <row r="10" spans="3:8" s="3" customFormat="1" ht="29.25" customHeight="1" x14ac:dyDescent="0.25">
      <c r="C10" s="42">
        <v>2</v>
      </c>
      <c r="D10" s="43" t="s">
        <v>12</v>
      </c>
      <c r="E10" s="47">
        <v>43388</v>
      </c>
      <c r="F10" s="48">
        <v>15000</v>
      </c>
      <c r="G10" s="48">
        <v>14000</v>
      </c>
      <c r="H10" s="44"/>
    </row>
    <row r="11" spans="3:8" s="3" customFormat="1" ht="29.25" customHeight="1" x14ac:dyDescent="0.25">
      <c r="C11" s="42">
        <v>3</v>
      </c>
      <c r="D11" s="43" t="s">
        <v>19</v>
      </c>
      <c r="E11" s="47">
        <v>43525</v>
      </c>
      <c r="F11" s="48">
        <v>8000</v>
      </c>
      <c r="G11" s="48">
        <v>10500</v>
      </c>
      <c r="H11" s="44"/>
    </row>
    <row r="12" spans="3:8" s="3" customFormat="1" ht="29.25" customHeight="1" x14ac:dyDescent="0.25">
      <c r="C12" s="42">
        <v>4</v>
      </c>
      <c r="D12" s="43" t="s">
        <v>13</v>
      </c>
      <c r="E12" s="47">
        <v>43405</v>
      </c>
      <c r="F12" s="48">
        <v>4000</v>
      </c>
      <c r="G12" s="48">
        <v>6000</v>
      </c>
      <c r="H12" s="44"/>
    </row>
    <row r="13" spans="3:8" s="3" customFormat="1" ht="29.25" customHeight="1" x14ac:dyDescent="0.25">
      <c r="C13" s="42">
        <v>5</v>
      </c>
      <c r="D13" s="43" t="s">
        <v>14</v>
      </c>
      <c r="E13" s="47">
        <v>43388</v>
      </c>
      <c r="F13" s="48">
        <v>4000</v>
      </c>
      <c r="G13" s="48">
        <v>7500</v>
      </c>
      <c r="H13" s="44"/>
    </row>
    <row r="14" spans="3:8" s="3" customFormat="1" ht="29.25" customHeight="1" x14ac:dyDescent="0.25">
      <c r="C14" s="42">
        <v>6</v>
      </c>
      <c r="D14" s="43" t="s">
        <v>11</v>
      </c>
      <c r="E14" s="47">
        <v>43388</v>
      </c>
      <c r="F14" s="48">
        <v>6000</v>
      </c>
      <c r="G14" s="48">
        <v>6000</v>
      </c>
      <c r="H14" s="44"/>
    </row>
    <row r="15" spans="3:8" s="3" customFormat="1" ht="29.25" customHeight="1" x14ac:dyDescent="0.25">
      <c r="C15" s="42">
        <v>7</v>
      </c>
      <c r="D15" s="43" t="s">
        <v>18</v>
      </c>
      <c r="E15" s="47">
        <v>43435</v>
      </c>
      <c r="F15" s="48">
        <v>5000</v>
      </c>
      <c r="G15" s="48">
        <v>5500</v>
      </c>
      <c r="H15" s="44"/>
    </row>
    <row r="16" spans="3:8" s="3" customFormat="1" ht="29.25" customHeight="1" x14ac:dyDescent="0.25">
      <c r="C16" s="42">
        <v>8</v>
      </c>
      <c r="D16" s="43" t="s">
        <v>16</v>
      </c>
      <c r="E16" s="47">
        <v>43388</v>
      </c>
      <c r="F16" s="48">
        <v>3500</v>
      </c>
      <c r="G16" s="48">
        <v>4500</v>
      </c>
      <c r="H16" s="44"/>
    </row>
    <row r="17" spans="3:8" s="3" customFormat="1" ht="29.25" customHeight="1" thickBot="1" x14ac:dyDescent="0.3">
      <c r="C17" s="42">
        <v>9</v>
      </c>
      <c r="D17" s="43" t="s">
        <v>17</v>
      </c>
      <c r="E17" s="47">
        <v>43405</v>
      </c>
      <c r="F17" s="48">
        <v>3000</v>
      </c>
      <c r="G17" s="48">
        <v>4500</v>
      </c>
      <c r="H17" s="44"/>
    </row>
    <row r="18" spans="3:8" ht="28.5" customHeight="1" thickBot="1" x14ac:dyDescent="0.3">
      <c r="C18" s="37"/>
      <c r="D18" s="38" t="s">
        <v>15</v>
      </c>
      <c r="E18" s="45"/>
      <c r="F18" s="45"/>
      <c r="G18" s="45"/>
      <c r="H18" s="39">
        <f>SUM(H9:H17)</f>
        <v>0</v>
      </c>
    </row>
    <row r="19" spans="3:8" x14ac:dyDescent="0.25">
      <c r="D19" s="4"/>
      <c r="E19" s="46"/>
      <c r="F19" s="46"/>
      <c r="G19" s="46"/>
    </row>
    <row r="20" spans="3:8" x14ac:dyDescent="0.25">
      <c r="D20" s="4"/>
      <c r="E20" s="46"/>
      <c r="F20" s="46"/>
      <c r="G20" s="46"/>
    </row>
  </sheetData>
  <mergeCells count="1">
    <mergeCell ref="C6:H6"/>
  </mergeCells>
  <hyperlinks>
    <hyperlink ref="D9" location="'محمج ابراهيم السباعى'!A1" display="محمد ابراهيم السباعى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032"/>
  <sheetViews>
    <sheetView rightToLeft="1" tabSelected="1" zoomScale="49" zoomScaleNormal="49" zoomScaleSheetLayoutView="53" zoomScalePageLayoutView="40" workbookViewId="0">
      <selection activeCell="F6" sqref="F6:O7"/>
    </sheetView>
  </sheetViews>
  <sheetFormatPr defaultColWidth="14.42578125" defaultRowHeight="21" x14ac:dyDescent="0.35"/>
  <cols>
    <col min="1" max="1" width="14.42578125" style="51" customWidth="1"/>
    <col min="2" max="2" width="48.7109375" style="51" bestFit="1" customWidth="1"/>
    <col min="3" max="3" width="31.28515625" style="51" customWidth="1"/>
    <col min="4" max="4" width="24.42578125" style="51" customWidth="1"/>
    <col min="5" max="5" width="0.140625" style="51" customWidth="1"/>
    <col min="6" max="6" width="20.5703125" style="51" customWidth="1"/>
    <col min="7" max="7" width="16.85546875" style="51" customWidth="1"/>
    <col min="8" max="8" width="12.28515625" style="51" customWidth="1"/>
    <col min="9" max="9" width="11.85546875" style="51" bestFit="1" customWidth="1"/>
    <col min="10" max="10" width="19.140625" style="51" bestFit="1" customWidth="1"/>
    <col min="11" max="11" width="19.140625" style="51" customWidth="1"/>
    <col min="12" max="12" width="24" style="51" customWidth="1"/>
    <col min="13" max="13" width="1.7109375" style="51" customWidth="1"/>
    <col min="14" max="14" width="18.140625" style="51" customWidth="1"/>
    <col min="15" max="15" width="20.85546875" style="51" customWidth="1"/>
    <col min="16" max="16" width="17" style="51" customWidth="1"/>
    <col min="17" max="17" width="17.7109375" style="51" customWidth="1"/>
    <col min="18" max="18" width="14" style="51" customWidth="1"/>
    <col min="19" max="19" width="16.5703125" style="51" customWidth="1"/>
    <col min="20" max="20" width="19.28515625" style="51" customWidth="1"/>
    <col min="21" max="21" width="2.140625" style="51" customWidth="1"/>
    <col min="22" max="22" width="22" style="51" customWidth="1"/>
    <col min="23" max="23" width="26.7109375" style="51" bestFit="1" customWidth="1"/>
    <col min="24" max="24" width="52.85546875" style="51" customWidth="1"/>
    <col min="25" max="25" width="28.28515625" style="51" customWidth="1"/>
    <col min="26" max="16384" width="14.42578125" style="51"/>
  </cols>
  <sheetData>
    <row r="2" spans="1:25" ht="45.75" customHeight="1" x14ac:dyDescent="0.35"/>
    <row r="3" spans="1:25" ht="45.75" customHeight="1" x14ac:dyDescent="0.35">
      <c r="F3" s="129" t="s">
        <v>62</v>
      </c>
      <c r="G3" s="129"/>
      <c r="H3" s="129"/>
      <c r="I3" s="129"/>
      <c r="J3" s="129"/>
      <c r="K3" s="129"/>
      <c r="L3" s="129"/>
      <c r="M3" s="129"/>
      <c r="N3" s="129"/>
      <c r="O3" s="129"/>
    </row>
    <row r="4" spans="1:25" ht="45.75" customHeight="1" x14ac:dyDescent="0.35">
      <c r="F4" s="129" t="s">
        <v>185</v>
      </c>
      <c r="G4" s="129"/>
      <c r="H4" s="129"/>
      <c r="I4" s="129"/>
      <c r="J4" s="129"/>
      <c r="K4" s="129"/>
      <c r="L4" s="129"/>
      <c r="M4" s="129"/>
      <c r="N4" s="129"/>
      <c r="O4" s="129"/>
    </row>
    <row r="5" spans="1:25" ht="23.25" customHeight="1" thickBot="1" x14ac:dyDescent="0.4"/>
    <row r="6" spans="1:25" ht="46.5" customHeight="1" x14ac:dyDescent="0.35">
      <c r="F6" s="130" t="s">
        <v>186</v>
      </c>
      <c r="G6" s="131"/>
      <c r="H6" s="131"/>
      <c r="I6" s="131"/>
      <c r="J6" s="131"/>
      <c r="K6" s="131"/>
      <c r="L6" s="131"/>
      <c r="M6" s="131"/>
      <c r="N6" s="131"/>
      <c r="O6" s="132"/>
    </row>
    <row r="7" spans="1:25" ht="6.75" customHeight="1" thickBot="1" x14ac:dyDescent="0.4">
      <c r="F7" s="133"/>
      <c r="G7" s="134"/>
      <c r="H7" s="134"/>
      <c r="I7" s="134"/>
      <c r="J7" s="134"/>
      <c r="K7" s="134"/>
      <c r="L7" s="134"/>
      <c r="M7" s="134"/>
      <c r="N7" s="134"/>
      <c r="O7" s="135"/>
      <c r="P7" s="52"/>
      <c r="Q7" s="52"/>
      <c r="R7" s="52"/>
      <c r="S7" s="52"/>
      <c r="V7" s="53"/>
    </row>
    <row r="8" spans="1:25" ht="24" customHeight="1" thickBot="1" x14ac:dyDescent="0.4"/>
    <row r="9" spans="1:25" ht="39.75" customHeight="1" thickBot="1" x14ac:dyDescent="0.4">
      <c r="A9" s="136"/>
      <c r="B9" s="137"/>
      <c r="C9" s="137"/>
      <c r="D9" s="138"/>
      <c r="E9" s="54"/>
      <c r="F9" s="136" t="s">
        <v>1</v>
      </c>
      <c r="G9" s="137"/>
      <c r="H9" s="137"/>
      <c r="I9" s="137"/>
      <c r="J9" s="137"/>
      <c r="K9" s="137"/>
      <c r="L9" s="138"/>
      <c r="M9" s="54"/>
      <c r="N9" s="136" t="s">
        <v>59</v>
      </c>
      <c r="O9" s="137"/>
      <c r="P9" s="137"/>
      <c r="Q9" s="137"/>
      <c r="R9" s="137"/>
      <c r="S9" s="137"/>
      <c r="T9" s="138"/>
      <c r="U9" s="54"/>
      <c r="V9" s="123" t="s">
        <v>2</v>
      </c>
      <c r="W9" s="124"/>
      <c r="X9" s="125"/>
      <c r="Y9" s="82" t="s">
        <v>110</v>
      </c>
    </row>
    <row r="10" spans="1:25" ht="23.25" customHeight="1" thickBot="1" x14ac:dyDescent="0.4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</row>
    <row r="11" spans="1:25" ht="53.45" customHeight="1" thickBot="1" x14ac:dyDescent="0.4">
      <c r="A11" s="56" t="s">
        <v>3</v>
      </c>
      <c r="B11" s="57" t="s">
        <v>4</v>
      </c>
      <c r="C11" s="58" t="s">
        <v>60</v>
      </c>
      <c r="D11" s="59" t="s">
        <v>5</v>
      </c>
      <c r="E11" s="55"/>
      <c r="F11" s="60" t="s">
        <v>48</v>
      </c>
      <c r="G11" s="61" t="s">
        <v>49</v>
      </c>
      <c r="H11" s="61" t="s">
        <v>50</v>
      </c>
      <c r="I11" s="62" t="s">
        <v>6</v>
      </c>
      <c r="J11" s="62" t="s">
        <v>51</v>
      </c>
      <c r="K11" s="62" t="s">
        <v>52</v>
      </c>
      <c r="L11" s="63" t="s">
        <v>53</v>
      </c>
      <c r="M11" s="55"/>
      <c r="N11" s="64" t="s">
        <v>63</v>
      </c>
      <c r="O11" s="62" t="s">
        <v>7</v>
      </c>
      <c r="P11" s="62" t="s">
        <v>54</v>
      </c>
      <c r="Q11" s="62" t="s">
        <v>55</v>
      </c>
      <c r="R11" s="62" t="s">
        <v>108</v>
      </c>
      <c r="S11" s="62" t="s">
        <v>56</v>
      </c>
      <c r="T11" s="63" t="s">
        <v>8</v>
      </c>
      <c r="V11" s="64" t="s">
        <v>9</v>
      </c>
      <c r="W11" s="65" t="s">
        <v>109</v>
      </c>
      <c r="X11" s="66" t="s">
        <v>57</v>
      </c>
      <c r="Y11" s="74" t="s">
        <v>110</v>
      </c>
    </row>
    <row r="12" spans="1:25" ht="39.75" customHeight="1" x14ac:dyDescent="0.35">
      <c r="A12" s="68">
        <v>1</v>
      </c>
      <c r="B12" s="71" t="s">
        <v>74</v>
      </c>
      <c r="C12" s="72" t="s">
        <v>73</v>
      </c>
      <c r="D12" s="73"/>
      <c r="E12" s="67"/>
      <c r="F12" s="69"/>
      <c r="G12" s="69"/>
      <c r="H12" s="69"/>
      <c r="I12" s="69"/>
      <c r="J12" s="69"/>
      <c r="K12" s="69"/>
      <c r="L12" s="70">
        <f t="shared" ref="L12:L19" si="0">F12+G12+H12+J12+K12</f>
        <v>0</v>
      </c>
      <c r="M12" s="67"/>
      <c r="N12" s="69"/>
      <c r="O12" s="83"/>
      <c r="P12" s="69"/>
      <c r="Q12" s="69"/>
      <c r="R12" s="69"/>
      <c r="S12" s="69"/>
      <c r="T12" s="70">
        <f t="shared" ref="T12:T24" si="1">N12+O12+P12+Q12+R12+S12</f>
        <v>0</v>
      </c>
      <c r="U12" s="67"/>
      <c r="V12" s="84">
        <f t="shared" ref="V12:V30" si="2">D12-L12+T12</f>
        <v>0</v>
      </c>
      <c r="W12" s="102">
        <v>100070068038</v>
      </c>
      <c r="X12" s="103"/>
      <c r="Y12" s="103"/>
    </row>
    <row r="13" spans="1:25" ht="39.75" customHeight="1" x14ac:dyDescent="0.35">
      <c r="A13" s="68">
        <v>2</v>
      </c>
      <c r="B13" s="71" t="s">
        <v>75</v>
      </c>
      <c r="C13" s="72" t="s">
        <v>76</v>
      </c>
      <c r="D13" s="73"/>
      <c r="E13" s="67"/>
      <c r="F13" s="69"/>
      <c r="G13" s="69"/>
      <c r="H13" s="69"/>
      <c r="I13" s="69"/>
      <c r="J13" s="69"/>
      <c r="K13" s="69"/>
      <c r="L13" s="70">
        <f t="shared" si="0"/>
        <v>0</v>
      </c>
      <c r="M13" s="67"/>
      <c r="N13" s="69"/>
      <c r="O13" s="83"/>
      <c r="P13" s="69"/>
      <c r="Q13" s="69"/>
      <c r="R13" s="69"/>
      <c r="S13" s="69"/>
      <c r="T13" s="70">
        <f t="shared" si="1"/>
        <v>0</v>
      </c>
      <c r="U13" s="67"/>
      <c r="V13" s="84">
        <f t="shared" si="2"/>
        <v>0</v>
      </c>
      <c r="W13" s="102">
        <v>100071185812</v>
      </c>
      <c r="X13" s="103"/>
      <c r="Y13" s="103"/>
    </row>
    <row r="14" spans="1:25" ht="39.75" customHeight="1" x14ac:dyDescent="0.35">
      <c r="A14" s="68">
        <v>3</v>
      </c>
      <c r="B14" s="71" t="s">
        <v>112</v>
      </c>
      <c r="C14" s="72" t="s">
        <v>77</v>
      </c>
      <c r="D14" s="73"/>
      <c r="E14" s="67"/>
      <c r="F14" s="75"/>
      <c r="G14" s="75"/>
      <c r="H14" s="75"/>
      <c r="I14" s="75"/>
      <c r="J14" s="75"/>
      <c r="K14" s="75"/>
      <c r="L14" s="70">
        <f t="shared" si="0"/>
        <v>0</v>
      </c>
      <c r="M14" s="67"/>
      <c r="N14" s="75"/>
      <c r="O14" s="85"/>
      <c r="P14" s="75"/>
      <c r="Q14" s="75"/>
      <c r="R14" s="75"/>
      <c r="S14" s="75"/>
      <c r="T14" s="70">
        <f t="shared" si="1"/>
        <v>0</v>
      </c>
      <c r="U14" s="67"/>
      <c r="V14" s="84">
        <f t="shared" si="2"/>
        <v>0</v>
      </c>
      <c r="W14" s="102">
        <v>100008705008</v>
      </c>
      <c r="X14" s="103"/>
      <c r="Y14" s="103"/>
    </row>
    <row r="15" spans="1:25" ht="39.75" customHeight="1" x14ac:dyDescent="0.35">
      <c r="A15" s="68">
        <v>4</v>
      </c>
      <c r="B15" s="94" t="s">
        <v>113</v>
      </c>
      <c r="C15" s="72" t="s">
        <v>78</v>
      </c>
      <c r="D15" s="73"/>
      <c r="E15" s="67"/>
      <c r="F15" s="75"/>
      <c r="G15" s="75"/>
      <c r="H15" s="75"/>
      <c r="I15" s="75"/>
      <c r="J15" s="75"/>
      <c r="K15" s="75"/>
      <c r="L15" s="70">
        <f t="shared" si="0"/>
        <v>0</v>
      </c>
      <c r="M15" s="67"/>
      <c r="N15" s="75"/>
      <c r="O15" s="85"/>
      <c r="P15" s="75"/>
      <c r="Q15" s="75"/>
      <c r="R15" s="75"/>
      <c r="S15" s="75"/>
      <c r="T15" s="70">
        <f t="shared" si="1"/>
        <v>0</v>
      </c>
      <c r="U15" s="67"/>
      <c r="V15" s="84">
        <f t="shared" si="2"/>
        <v>0</v>
      </c>
      <c r="W15" s="102">
        <v>100070078068</v>
      </c>
      <c r="X15" s="103"/>
      <c r="Y15" s="103"/>
    </row>
    <row r="16" spans="1:25" ht="39.75" customHeight="1" x14ac:dyDescent="0.35">
      <c r="A16" s="68">
        <v>5</v>
      </c>
      <c r="B16" s="94" t="s">
        <v>147</v>
      </c>
      <c r="C16" s="72" t="s">
        <v>78</v>
      </c>
      <c r="D16" s="73"/>
      <c r="E16" s="67"/>
      <c r="F16" s="75"/>
      <c r="G16" s="75"/>
      <c r="H16" s="75"/>
      <c r="I16" s="75"/>
      <c r="J16" s="75"/>
      <c r="K16" s="75"/>
      <c r="L16" s="70">
        <f t="shared" si="0"/>
        <v>0</v>
      </c>
      <c r="M16" s="67"/>
      <c r="N16" s="75"/>
      <c r="O16" s="85"/>
      <c r="P16" s="75"/>
      <c r="Q16" s="75"/>
      <c r="R16" s="75"/>
      <c r="S16" s="75"/>
      <c r="T16" s="70">
        <f t="shared" si="1"/>
        <v>0</v>
      </c>
      <c r="U16" s="67"/>
      <c r="V16" s="105">
        <f t="shared" si="2"/>
        <v>0</v>
      </c>
      <c r="W16" s="106">
        <v>100055075993</v>
      </c>
      <c r="X16" s="107"/>
      <c r="Y16" s="107"/>
    </row>
    <row r="17" spans="1:25" ht="39.75" customHeight="1" x14ac:dyDescent="0.35">
      <c r="A17" s="68">
        <v>6</v>
      </c>
      <c r="B17" s="94" t="s">
        <v>111</v>
      </c>
      <c r="C17" s="72" t="s">
        <v>78</v>
      </c>
      <c r="D17" s="73"/>
      <c r="E17" s="67"/>
      <c r="F17" s="75"/>
      <c r="G17" s="75"/>
      <c r="H17" s="75"/>
      <c r="I17" s="75"/>
      <c r="J17" s="75"/>
      <c r="K17" s="75"/>
      <c r="L17" s="70">
        <f t="shared" si="0"/>
        <v>0</v>
      </c>
      <c r="M17" s="67"/>
      <c r="N17" s="75"/>
      <c r="O17" s="85"/>
      <c r="P17" s="75"/>
      <c r="Q17" s="75"/>
      <c r="R17" s="75"/>
      <c r="S17" s="75"/>
      <c r="T17" s="70">
        <f t="shared" si="1"/>
        <v>0</v>
      </c>
      <c r="U17" s="67"/>
      <c r="V17" s="84">
        <f t="shared" si="2"/>
        <v>0</v>
      </c>
      <c r="W17" s="102">
        <v>100071184395</v>
      </c>
      <c r="X17" s="103"/>
      <c r="Y17" s="103"/>
    </row>
    <row r="18" spans="1:25" ht="39.75" customHeight="1" x14ac:dyDescent="0.35">
      <c r="A18" s="68">
        <v>7</v>
      </c>
      <c r="B18" s="94" t="s">
        <v>101</v>
      </c>
      <c r="C18" s="72" t="s">
        <v>64</v>
      </c>
      <c r="D18" s="73"/>
      <c r="E18" s="67"/>
      <c r="F18" s="75"/>
      <c r="G18" s="75"/>
      <c r="H18" s="75"/>
      <c r="I18" s="75"/>
      <c r="J18" s="75"/>
      <c r="K18" s="75"/>
      <c r="L18" s="70">
        <f t="shared" si="0"/>
        <v>0</v>
      </c>
      <c r="M18" s="67"/>
      <c r="N18" s="75"/>
      <c r="O18" s="85"/>
      <c r="P18" s="75"/>
      <c r="Q18" s="75"/>
      <c r="R18" s="75"/>
      <c r="S18" s="75"/>
      <c r="T18" s="70">
        <f t="shared" si="1"/>
        <v>0</v>
      </c>
      <c r="U18" s="67"/>
      <c r="V18" s="105">
        <f t="shared" si="2"/>
        <v>0</v>
      </c>
      <c r="W18" s="106"/>
      <c r="X18" s="107"/>
      <c r="Y18" s="107"/>
    </row>
    <row r="19" spans="1:25" ht="39.75" customHeight="1" x14ac:dyDescent="0.35">
      <c r="A19" s="68">
        <v>8</v>
      </c>
      <c r="B19" s="94" t="s">
        <v>103</v>
      </c>
      <c r="C19" s="72" t="s">
        <v>79</v>
      </c>
      <c r="D19" s="73"/>
      <c r="E19" s="67"/>
      <c r="F19" s="75"/>
      <c r="G19" s="75"/>
      <c r="H19" s="75"/>
      <c r="I19" s="75"/>
      <c r="J19" s="75"/>
      <c r="K19" s="75"/>
      <c r="L19" s="70">
        <f t="shared" si="0"/>
        <v>0</v>
      </c>
      <c r="M19" s="67"/>
      <c r="N19" s="75"/>
      <c r="O19" s="85"/>
      <c r="P19" s="75"/>
      <c r="Q19" s="75"/>
      <c r="R19" s="75"/>
      <c r="S19" s="75"/>
      <c r="T19" s="70">
        <f t="shared" si="1"/>
        <v>0</v>
      </c>
      <c r="U19" s="67"/>
      <c r="V19" s="84">
        <f t="shared" si="2"/>
        <v>0</v>
      </c>
      <c r="W19" s="102">
        <v>100070079075</v>
      </c>
      <c r="X19" s="103"/>
      <c r="Y19" s="103"/>
    </row>
    <row r="20" spans="1:25" ht="39.75" customHeight="1" x14ac:dyDescent="0.35">
      <c r="A20" s="68">
        <v>9</v>
      </c>
      <c r="B20" s="94" t="s">
        <v>102</v>
      </c>
      <c r="C20" s="72" t="s">
        <v>79</v>
      </c>
      <c r="D20" s="73"/>
      <c r="E20" s="67"/>
      <c r="F20" s="69"/>
      <c r="G20" s="69"/>
      <c r="H20" s="69"/>
      <c r="I20" s="69"/>
      <c r="J20" s="69"/>
      <c r="K20" s="69"/>
      <c r="L20" s="70">
        <f t="shared" ref="L20:L21" si="3">F20+G20+H20+J20+K20</f>
        <v>0</v>
      </c>
      <c r="M20" s="69"/>
      <c r="N20" s="69"/>
      <c r="O20" s="85"/>
      <c r="P20" s="69"/>
      <c r="Q20" s="69"/>
      <c r="R20" s="69"/>
      <c r="S20" s="69"/>
      <c r="T20" s="70">
        <f t="shared" si="1"/>
        <v>0</v>
      </c>
      <c r="U20" s="67"/>
      <c r="V20" s="84">
        <f t="shared" si="2"/>
        <v>0</v>
      </c>
      <c r="W20" s="102">
        <v>100070084613</v>
      </c>
      <c r="X20" s="103"/>
      <c r="Y20" s="103"/>
    </row>
    <row r="21" spans="1:25" ht="39.75" customHeight="1" x14ac:dyDescent="0.35">
      <c r="A21" s="68">
        <v>10</v>
      </c>
      <c r="B21" s="94" t="s">
        <v>114</v>
      </c>
      <c r="C21" s="72" t="s">
        <v>79</v>
      </c>
      <c r="D21" s="73"/>
      <c r="E21" s="67"/>
      <c r="F21" s="69"/>
      <c r="G21" s="69"/>
      <c r="H21" s="69"/>
      <c r="I21" s="69"/>
      <c r="J21" s="69"/>
      <c r="K21" s="69"/>
      <c r="L21" s="70">
        <f t="shared" si="3"/>
        <v>0</v>
      </c>
      <c r="M21" s="69"/>
      <c r="N21" s="69"/>
      <c r="O21" s="85"/>
      <c r="P21" s="69"/>
      <c r="Q21" s="69"/>
      <c r="R21" s="69"/>
      <c r="S21" s="69"/>
      <c r="T21" s="70">
        <f t="shared" si="1"/>
        <v>0</v>
      </c>
      <c r="U21" s="67"/>
      <c r="V21" s="84">
        <f t="shared" si="2"/>
        <v>0</v>
      </c>
      <c r="W21" s="102">
        <v>100070183263</v>
      </c>
      <c r="X21" s="103"/>
      <c r="Y21" s="103"/>
    </row>
    <row r="22" spans="1:25" ht="39.75" customHeight="1" x14ac:dyDescent="0.35">
      <c r="A22" s="68">
        <v>11</v>
      </c>
      <c r="B22" s="94" t="s">
        <v>115</v>
      </c>
      <c r="C22" s="72" t="s">
        <v>79</v>
      </c>
      <c r="D22" s="73"/>
      <c r="E22" s="67"/>
      <c r="F22" s="69"/>
      <c r="G22" s="69"/>
      <c r="H22" s="69"/>
      <c r="I22" s="69"/>
      <c r="J22" s="69"/>
      <c r="K22" s="69"/>
      <c r="L22" s="70">
        <f>F22+G22+H22+J22+K22</f>
        <v>0</v>
      </c>
      <c r="M22" s="69"/>
      <c r="N22" s="69"/>
      <c r="O22" s="85"/>
      <c r="P22" s="69"/>
      <c r="Q22" s="69"/>
      <c r="R22" s="69"/>
      <c r="S22" s="69"/>
      <c r="T22" s="70">
        <f t="shared" si="1"/>
        <v>0</v>
      </c>
      <c r="U22" s="67"/>
      <c r="V22" s="84">
        <f t="shared" si="2"/>
        <v>0</v>
      </c>
      <c r="W22" s="102">
        <v>100070083927</v>
      </c>
      <c r="X22" s="103"/>
      <c r="Y22" s="103"/>
    </row>
    <row r="23" spans="1:25" ht="39.75" customHeight="1" x14ac:dyDescent="0.35">
      <c r="A23" s="68">
        <v>12</v>
      </c>
      <c r="B23" s="94" t="s">
        <v>155</v>
      </c>
      <c r="C23" s="72" t="s">
        <v>79</v>
      </c>
      <c r="D23" s="73"/>
      <c r="E23" s="67"/>
      <c r="F23" s="69"/>
      <c r="G23" s="69"/>
      <c r="H23" s="69"/>
      <c r="I23" s="69"/>
      <c r="J23" s="69"/>
      <c r="K23" s="69"/>
      <c r="L23" s="70">
        <f>F23+G23+H23+J23+K23</f>
        <v>0</v>
      </c>
      <c r="M23" s="69"/>
      <c r="N23" s="69"/>
      <c r="O23" s="85"/>
      <c r="P23" s="69"/>
      <c r="Q23" s="69"/>
      <c r="R23" s="69"/>
      <c r="S23" s="69"/>
      <c r="T23" s="70">
        <f t="shared" si="1"/>
        <v>0</v>
      </c>
      <c r="U23" s="67"/>
      <c r="V23" s="105">
        <f t="shared" si="2"/>
        <v>0</v>
      </c>
      <c r="W23" s="106"/>
      <c r="X23" s="107"/>
      <c r="Y23" s="107"/>
    </row>
    <row r="24" spans="1:25" ht="39.75" customHeight="1" x14ac:dyDescent="0.35">
      <c r="A24" s="68">
        <v>13</v>
      </c>
      <c r="B24" s="94" t="s">
        <v>116</v>
      </c>
      <c r="C24" s="72" t="s">
        <v>65</v>
      </c>
      <c r="D24" s="73"/>
      <c r="E24" s="67"/>
      <c r="F24" s="69"/>
      <c r="G24" s="69"/>
      <c r="H24" s="69"/>
      <c r="I24" s="69"/>
      <c r="J24" s="69"/>
      <c r="K24" s="69"/>
      <c r="L24" s="70">
        <f t="shared" ref="L24:L72" si="4">F24+G24+H24+J24+K24</f>
        <v>0</v>
      </c>
      <c r="M24" s="69"/>
      <c r="N24" s="69"/>
      <c r="O24" s="85"/>
      <c r="P24" s="69"/>
      <c r="Q24" s="69"/>
      <c r="R24" s="69"/>
      <c r="S24" s="69"/>
      <c r="T24" s="70">
        <f t="shared" si="1"/>
        <v>0</v>
      </c>
      <c r="U24" s="67"/>
      <c r="V24" s="84">
        <f t="shared" si="2"/>
        <v>0</v>
      </c>
      <c r="W24" s="102">
        <v>100070080111</v>
      </c>
      <c r="X24" s="103"/>
      <c r="Y24" s="103"/>
    </row>
    <row r="25" spans="1:25" ht="39.75" customHeight="1" x14ac:dyDescent="0.35">
      <c r="A25" s="68">
        <v>14</v>
      </c>
      <c r="B25" s="94" t="s">
        <v>117</v>
      </c>
      <c r="C25" s="72" t="s">
        <v>65</v>
      </c>
      <c r="D25" s="73"/>
      <c r="E25" s="67"/>
      <c r="F25" s="69"/>
      <c r="G25" s="69"/>
      <c r="H25" s="69"/>
      <c r="I25" s="69"/>
      <c r="J25" s="69"/>
      <c r="K25" s="69"/>
      <c r="L25" s="70">
        <f t="shared" si="4"/>
        <v>0</v>
      </c>
      <c r="M25" s="69"/>
      <c r="N25" s="69"/>
      <c r="O25" s="85"/>
      <c r="P25" s="69"/>
      <c r="Q25" s="69"/>
      <c r="R25" s="69"/>
      <c r="S25" s="69"/>
      <c r="T25" s="70">
        <f t="shared" ref="T25:T69" si="5">N25+O25+P25+Q25+R25+S25</f>
        <v>0</v>
      </c>
      <c r="U25" s="67"/>
      <c r="V25" s="84">
        <f t="shared" si="2"/>
        <v>0</v>
      </c>
      <c r="W25" s="102">
        <v>100071192185</v>
      </c>
      <c r="X25" s="103"/>
      <c r="Y25" s="103"/>
    </row>
    <row r="26" spans="1:25" ht="39.75" customHeight="1" x14ac:dyDescent="0.35">
      <c r="A26" s="68">
        <v>15</v>
      </c>
      <c r="B26" s="94" t="s">
        <v>80</v>
      </c>
      <c r="C26" s="72" t="s">
        <v>65</v>
      </c>
      <c r="D26" s="73"/>
      <c r="E26" s="67"/>
      <c r="F26" s="69"/>
      <c r="G26" s="69"/>
      <c r="H26" s="69"/>
      <c r="I26" s="69"/>
      <c r="J26" s="69"/>
      <c r="K26" s="69"/>
      <c r="L26" s="70">
        <f t="shared" si="4"/>
        <v>0</v>
      </c>
      <c r="M26" s="69"/>
      <c r="N26" s="69"/>
      <c r="O26" s="85"/>
      <c r="P26" s="69"/>
      <c r="Q26" s="69"/>
      <c r="R26" s="69"/>
      <c r="S26" s="69"/>
      <c r="T26" s="70">
        <f t="shared" si="5"/>
        <v>0</v>
      </c>
      <c r="U26" s="67"/>
      <c r="V26" s="84">
        <f t="shared" si="2"/>
        <v>0</v>
      </c>
      <c r="W26" s="102">
        <v>100070085679</v>
      </c>
      <c r="X26" s="103"/>
      <c r="Y26" s="103"/>
    </row>
    <row r="27" spans="1:25" ht="39.75" customHeight="1" x14ac:dyDescent="0.35">
      <c r="A27" s="68">
        <v>16</v>
      </c>
      <c r="B27" s="94" t="s">
        <v>118</v>
      </c>
      <c r="C27" s="72" t="s">
        <v>65</v>
      </c>
      <c r="D27" s="73"/>
      <c r="E27" s="67"/>
      <c r="F27" s="69"/>
      <c r="G27" s="69"/>
      <c r="H27" s="69"/>
      <c r="I27" s="69"/>
      <c r="J27" s="69"/>
      <c r="K27" s="69"/>
      <c r="L27" s="70">
        <f t="shared" si="4"/>
        <v>0</v>
      </c>
      <c r="M27" s="69"/>
      <c r="N27" s="69"/>
      <c r="O27" s="85"/>
      <c r="P27" s="69"/>
      <c r="Q27" s="69"/>
      <c r="R27" s="69"/>
      <c r="S27" s="69"/>
      <c r="T27" s="70">
        <f t="shared" si="5"/>
        <v>0</v>
      </c>
      <c r="U27" s="67"/>
      <c r="V27" s="84">
        <f t="shared" si="2"/>
        <v>0</v>
      </c>
      <c r="W27" s="102">
        <v>100070186181</v>
      </c>
      <c r="X27" s="103"/>
      <c r="Y27" s="103"/>
    </row>
    <row r="28" spans="1:25" ht="39.75" customHeight="1" x14ac:dyDescent="0.35">
      <c r="A28" s="68">
        <v>17</v>
      </c>
      <c r="B28" s="94" t="s">
        <v>153</v>
      </c>
      <c r="C28" s="72" t="s">
        <v>65</v>
      </c>
      <c r="D28" s="73"/>
      <c r="E28" s="67"/>
      <c r="F28" s="69"/>
      <c r="G28" s="69"/>
      <c r="H28" s="69"/>
      <c r="I28" s="69"/>
      <c r="J28" s="69"/>
      <c r="K28" s="69"/>
      <c r="L28" s="70">
        <f t="shared" si="4"/>
        <v>0</v>
      </c>
      <c r="M28" s="69"/>
      <c r="N28" s="69"/>
      <c r="O28" s="85"/>
      <c r="P28" s="69"/>
      <c r="Q28" s="69"/>
      <c r="R28" s="69"/>
      <c r="S28" s="69"/>
      <c r="T28" s="70">
        <f t="shared" si="5"/>
        <v>0</v>
      </c>
      <c r="U28" s="67"/>
      <c r="V28" s="84">
        <f t="shared" si="2"/>
        <v>0</v>
      </c>
      <c r="W28" s="102">
        <v>100071196717</v>
      </c>
      <c r="X28" s="103"/>
      <c r="Y28" s="103"/>
    </row>
    <row r="29" spans="1:25" ht="39.75" customHeight="1" x14ac:dyDescent="0.35">
      <c r="A29" s="68">
        <v>18</v>
      </c>
      <c r="B29" s="94" t="s">
        <v>160</v>
      </c>
      <c r="C29" s="72" t="s">
        <v>65</v>
      </c>
      <c r="D29" s="73"/>
      <c r="E29" s="67"/>
      <c r="F29" s="69"/>
      <c r="G29" s="69"/>
      <c r="H29" s="69"/>
      <c r="I29" s="69"/>
      <c r="J29" s="69"/>
      <c r="K29" s="69"/>
      <c r="L29" s="70">
        <f t="shared" si="4"/>
        <v>0</v>
      </c>
      <c r="M29" s="69"/>
      <c r="N29" s="69"/>
      <c r="O29" s="85"/>
      <c r="P29" s="69"/>
      <c r="Q29" s="69"/>
      <c r="R29" s="69"/>
      <c r="S29" s="69"/>
      <c r="T29" s="70">
        <f t="shared" si="5"/>
        <v>0</v>
      </c>
      <c r="U29" s="67"/>
      <c r="V29" s="105">
        <f t="shared" si="2"/>
        <v>0</v>
      </c>
      <c r="W29" s="106"/>
      <c r="X29" s="107"/>
      <c r="Y29" s="107" t="s">
        <v>180</v>
      </c>
    </row>
    <row r="30" spans="1:25" ht="39.75" customHeight="1" x14ac:dyDescent="0.35">
      <c r="A30" s="68">
        <v>19</v>
      </c>
      <c r="B30" s="94" t="s">
        <v>161</v>
      </c>
      <c r="C30" s="72" t="s">
        <v>65</v>
      </c>
      <c r="D30" s="73"/>
      <c r="E30" s="67"/>
      <c r="F30" s="69"/>
      <c r="G30" s="69"/>
      <c r="H30" s="69"/>
      <c r="I30" s="69"/>
      <c r="J30" s="69"/>
      <c r="K30" s="69"/>
      <c r="L30" s="70">
        <f t="shared" si="4"/>
        <v>0</v>
      </c>
      <c r="M30" s="69"/>
      <c r="N30" s="69"/>
      <c r="O30" s="85"/>
      <c r="P30" s="69"/>
      <c r="Q30" s="69"/>
      <c r="R30" s="69"/>
      <c r="S30" s="69"/>
      <c r="T30" s="70">
        <f t="shared" si="5"/>
        <v>0</v>
      </c>
      <c r="U30" s="67"/>
      <c r="V30" s="105">
        <f t="shared" si="2"/>
        <v>0</v>
      </c>
      <c r="W30" s="106"/>
      <c r="X30" s="107"/>
      <c r="Y30" s="107" t="s">
        <v>181</v>
      </c>
    </row>
    <row r="31" spans="1:25" ht="39.75" customHeight="1" x14ac:dyDescent="0.35">
      <c r="A31" s="68">
        <v>20</v>
      </c>
      <c r="B31" s="94" t="s">
        <v>119</v>
      </c>
      <c r="C31" s="72" t="s">
        <v>66</v>
      </c>
      <c r="D31" s="73"/>
      <c r="E31" s="67"/>
      <c r="F31" s="69"/>
      <c r="G31" s="69"/>
      <c r="H31" s="69"/>
      <c r="I31" s="69"/>
      <c r="J31" s="69"/>
      <c r="K31" s="69"/>
      <c r="L31" s="70">
        <f t="shared" si="4"/>
        <v>0</v>
      </c>
      <c r="M31" s="69"/>
      <c r="N31" s="69"/>
      <c r="O31" s="85"/>
      <c r="P31" s="69"/>
      <c r="Q31" s="69"/>
      <c r="R31" s="69"/>
      <c r="S31" s="69"/>
      <c r="T31" s="70">
        <f t="shared" si="5"/>
        <v>0</v>
      </c>
      <c r="U31" s="67"/>
      <c r="V31" s="84">
        <f>D31-L31+T31</f>
        <v>0</v>
      </c>
      <c r="W31" s="102">
        <v>100071196962</v>
      </c>
      <c r="X31" s="109"/>
      <c r="Y31" s="103"/>
    </row>
    <row r="32" spans="1:25" ht="39.75" customHeight="1" x14ac:dyDescent="0.35">
      <c r="A32" s="68">
        <v>21</v>
      </c>
      <c r="B32" s="94" t="s">
        <v>120</v>
      </c>
      <c r="C32" s="72" t="s">
        <v>81</v>
      </c>
      <c r="D32" s="73"/>
      <c r="E32" s="67"/>
      <c r="F32" s="69"/>
      <c r="G32" s="69"/>
      <c r="H32" s="69"/>
      <c r="I32" s="69"/>
      <c r="J32" s="69"/>
      <c r="K32" s="69"/>
      <c r="L32" s="70">
        <f t="shared" si="4"/>
        <v>0</v>
      </c>
      <c r="M32" s="69"/>
      <c r="N32" s="69"/>
      <c r="O32" s="85"/>
      <c r="P32" s="69"/>
      <c r="Q32" s="69"/>
      <c r="R32" s="69"/>
      <c r="S32" s="69"/>
      <c r="T32" s="70">
        <f t="shared" si="5"/>
        <v>0</v>
      </c>
      <c r="U32" s="67"/>
      <c r="V32" s="84">
        <f>D32-L32+T32</f>
        <v>0</v>
      </c>
      <c r="W32" s="102">
        <v>100070069398</v>
      </c>
      <c r="X32" s="103"/>
      <c r="Y32" s="103"/>
    </row>
    <row r="33" spans="1:25" ht="39.75" customHeight="1" x14ac:dyDescent="0.35">
      <c r="A33" s="68">
        <v>22</v>
      </c>
      <c r="B33" s="94" t="s">
        <v>148</v>
      </c>
      <c r="C33" s="72" t="s">
        <v>149</v>
      </c>
      <c r="D33" s="73"/>
      <c r="E33" s="67"/>
      <c r="F33" s="69"/>
      <c r="G33" s="69"/>
      <c r="H33" s="69"/>
      <c r="I33" s="69"/>
      <c r="J33" s="69"/>
      <c r="K33" s="69"/>
      <c r="L33" s="70">
        <f t="shared" si="4"/>
        <v>0</v>
      </c>
      <c r="M33" s="69"/>
      <c r="N33" s="69"/>
      <c r="O33" s="85"/>
      <c r="P33" s="69"/>
      <c r="Q33" s="69"/>
      <c r="R33" s="69"/>
      <c r="S33" s="69"/>
      <c r="T33" s="70">
        <f t="shared" si="5"/>
        <v>0</v>
      </c>
      <c r="U33" s="67"/>
      <c r="V33" s="84">
        <f>D33-L33+T33</f>
        <v>0</v>
      </c>
      <c r="W33" s="102">
        <v>100071191596</v>
      </c>
      <c r="X33" s="103"/>
      <c r="Y33" s="103"/>
    </row>
    <row r="34" spans="1:25" ht="39.75" customHeight="1" x14ac:dyDescent="0.35">
      <c r="A34" s="68">
        <v>23</v>
      </c>
      <c r="B34" s="94" t="s">
        <v>154</v>
      </c>
      <c r="C34" s="72" t="s">
        <v>149</v>
      </c>
      <c r="D34" s="73"/>
      <c r="E34" s="67"/>
      <c r="F34" s="69"/>
      <c r="G34" s="69"/>
      <c r="H34" s="69"/>
      <c r="I34" s="69"/>
      <c r="J34" s="69"/>
      <c r="K34" s="69"/>
      <c r="L34" s="70">
        <f t="shared" si="4"/>
        <v>0</v>
      </c>
      <c r="M34" s="69"/>
      <c r="N34" s="69"/>
      <c r="O34" s="85"/>
      <c r="P34" s="69"/>
      <c r="Q34" s="69"/>
      <c r="R34" s="69"/>
      <c r="S34" s="69"/>
      <c r="T34" s="70">
        <f t="shared" si="5"/>
        <v>0</v>
      </c>
      <c r="U34" s="67"/>
      <c r="V34" s="105">
        <f>D34-L34+T34</f>
        <v>0</v>
      </c>
      <c r="W34" s="106"/>
      <c r="X34" s="107"/>
      <c r="Y34" s="107"/>
    </row>
    <row r="35" spans="1:25" ht="39.75" customHeight="1" x14ac:dyDescent="0.35">
      <c r="A35" s="68">
        <v>24</v>
      </c>
      <c r="B35" s="94" t="s">
        <v>146</v>
      </c>
      <c r="C35" s="72" t="s">
        <v>82</v>
      </c>
      <c r="D35" s="73"/>
      <c r="E35" s="67"/>
      <c r="F35" s="69"/>
      <c r="G35" s="69"/>
      <c r="H35" s="69"/>
      <c r="I35" s="69"/>
      <c r="J35" s="69"/>
      <c r="K35" s="69"/>
      <c r="L35" s="70">
        <f t="shared" si="4"/>
        <v>0</v>
      </c>
      <c r="M35" s="69"/>
      <c r="N35" s="69"/>
      <c r="O35" s="85"/>
      <c r="P35" s="69"/>
      <c r="Q35" s="69"/>
      <c r="R35" s="69"/>
      <c r="S35" s="69"/>
      <c r="T35" s="70">
        <f t="shared" si="5"/>
        <v>0</v>
      </c>
      <c r="U35" s="67"/>
      <c r="V35" s="84">
        <f t="shared" ref="V35:V75" si="6">D35-L35+T35</f>
        <v>0</v>
      </c>
      <c r="W35" s="102">
        <v>100070072275</v>
      </c>
      <c r="X35" s="103"/>
      <c r="Y35" s="103"/>
    </row>
    <row r="36" spans="1:25" ht="39.75" customHeight="1" x14ac:dyDescent="0.35">
      <c r="A36" s="68">
        <v>25</v>
      </c>
      <c r="B36" s="94" t="s">
        <v>104</v>
      </c>
      <c r="C36" s="72" t="s">
        <v>82</v>
      </c>
      <c r="D36" s="73"/>
      <c r="E36" s="67"/>
      <c r="F36" s="69"/>
      <c r="G36" s="69"/>
      <c r="H36" s="69"/>
      <c r="I36" s="69"/>
      <c r="J36" s="69"/>
      <c r="K36" s="69"/>
      <c r="L36" s="70">
        <f t="shared" si="4"/>
        <v>0</v>
      </c>
      <c r="M36" s="69"/>
      <c r="N36" s="69"/>
      <c r="O36" s="85"/>
      <c r="P36" s="69"/>
      <c r="Q36" s="69"/>
      <c r="R36" s="69"/>
      <c r="S36" s="69"/>
      <c r="T36" s="70">
        <f t="shared" si="5"/>
        <v>0</v>
      </c>
      <c r="U36" s="67"/>
      <c r="V36" s="84">
        <f t="shared" si="6"/>
        <v>0</v>
      </c>
      <c r="W36" s="102">
        <v>100062878031</v>
      </c>
      <c r="X36" s="103"/>
      <c r="Y36" s="103"/>
    </row>
    <row r="37" spans="1:25" ht="39.75" customHeight="1" x14ac:dyDescent="0.35">
      <c r="A37" s="68">
        <v>26</v>
      </c>
      <c r="B37" s="94" t="s">
        <v>105</v>
      </c>
      <c r="C37" s="72" t="s">
        <v>82</v>
      </c>
      <c r="D37" s="73"/>
      <c r="E37" s="67"/>
      <c r="F37" s="69"/>
      <c r="G37" s="69"/>
      <c r="H37" s="69"/>
      <c r="I37" s="69"/>
      <c r="J37" s="69"/>
      <c r="K37" s="69"/>
      <c r="L37" s="70">
        <f t="shared" si="4"/>
        <v>0</v>
      </c>
      <c r="M37" s="69"/>
      <c r="N37" s="69"/>
      <c r="O37" s="85"/>
      <c r="P37" s="69"/>
      <c r="Q37" s="69"/>
      <c r="R37" s="69"/>
      <c r="S37" s="69"/>
      <c r="T37" s="70">
        <f t="shared" si="5"/>
        <v>0</v>
      </c>
      <c r="U37" s="67"/>
      <c r="V37" s="84">
        <f t="shared" si="6"/>
        <v>0</v>
      </c>
      <c r="W37" s="102">
        <v>100070074308</v>
      </c>
      <c r="X37" s="103"/>
      <c r="Y37" s="103"/>
    </row>
    <row r="38" spans="1:25" ht="39.75" customHeight="1" x14ac:dyDescent="0.35">
      <c r="A38" s="68">
        <v>27</v>
      </c>
      <c r="B38" s="94" t="s">
        <v>121</v>
      </c>
      <c r="C38" s="72" t="s">
        <v>83</v>
      </c>
      <c r="D38" s="73"/>
      <c r="E38" s="67"/>
      <c r="F38" s="69"/>
      <c r="G38" s="69"/>
      <c r="H38" s="69"/>
      <c r="I38" s="69"/>
      <c r="J38" s="69"/>
      <c r="K38" s="69"/>
      <c r="L38" s="70">
        <f t="shared" si="4"/>
        <v>0</v>
      </c>
      <c r="M38" s="69"/>
      <c r="N38" s="69"/>
      <c r="O38" s="85"/>
      <c r="P38" s="69"/>
      <c r="Q38" s="69"/>
      <c r="R38" s="69"/>
      <c r="S38" s="69"/>
      <c r="T38" s="70">
        <f t="shared" si="5"/>
        <v>0</v>
      </c>
      <c r="U38" s="67"/>
      <c r="V38" s="84">
        <f t="shared" si="6"/>
        <v>0</v>
      </c>
      <c r="W38" s="102">
        <v>100070074863</v>
      </c>
      <c r="X38" s="103"/>
      <c r="Y38" s="103"/>
    </row>
    <row r="39" spans="1:25" ht="39.75" customHeight="1" x14ac:dyDescent="0.35">
      <c r="A39" s="68">
        <v>28</v>
      </c>
      <c r="B39" s="94" t="s">
        <v>152</v>
      </c>
      <c r="C39" s="72" t="s">
        <v>83</v>
      </c>
      <c r="D39" s="73"/>
      <c r="E39" s="67"/>
      <c r="F39" s="69"/>
      <c r="G39" s="69"/>
      <c r="H39" s="69"/>
      <c r="I39" s="69"/>
      <c r="J39" s="69"/>
      <c r="K39" s="69"/>
      <c r="L39" s="70">
        <f t="shared" si="4"/>
        <v>0</v>
      </c>
      <c r="M39" s="69"/>
      <c r="N39" s="69"/>
      <c r="O39" s="85"/>
      <c r="P39" s="69"/>
      <c r="Q39" s="69"/>
      <c r="R39" s="69"/>
      <c r="S39" s="69"/>
      <c r="T39" s="70">
        <f t="shared" si="5"/>
        <v>0</v>
      </c>
      <c r="U39" s="67"/>
      <c r="V39" s="84">
        <f t="shared" si="6"/>
        <v>0</v>
      </c>
      <c r="W39" s="102">
        <v>100054624799</v>
      </c>
      <c r="X39" s="103"/>
      <c r="Y39" s="103"/>
    </row>
    <row r="40" spans="1:25" ht="39.75" customHeight="1" x14ac:dyDescent="0.35">
      <c r="A40" s="68">
        <v>29</v>
      </c>
      <c r="B40" s="94" t="s">
        <v>156</v>
      </c>
      <c r="C40" s="72" t="s">
        <v>83</v>
      </c>
      <c r="D40" s="73"/>
      <c r="E40" s="67"/>
      <c r="F40" s="69"/>
      <c r="G40" s="69"/>
      <c r="H40" s="69"/>
      <c r="I40" s="69"/>
      <c r="J40" s="69"/>
      <c r="K40" s="69"/>
      <c r="L40" s="70">
        <f t="shared" si="4"/>
        <v>0</v>
      </c>
      <c r="M40" s="69"/>
      <c r="N40" s="69"/>
      <c r="O40" s="85"/>
      <c r="P40" s="69"/>
      <c r="Q40" s="69"/>
      <c r="R40" s="69"/>
      <c r="S40" s="69"/>
      <c r="T40" s="70">
        <f t="shared" si="5"/>
        <v>0</v>
      </c>
      <c r="U40" s="67"/>
      <c r="V40" s="105">
        <f t="shared" si="6"/>
        <v>0</v>
      </c>
      <c r="W40" s="106"/>
      <c r="X40" s="107"/>
      <c r="Y40" s="107"/>
    </row>
    <row r="41" spans="1:25" ht="39.75" customHeight="1" x14ac:dyDescent="0.35">
      <c r="A41" s="68">
        <v>30</v>
      </c>
      <c r="B41" s="94" t="s">
        <v>122</v>
      </c>
      <c r="C41" s="72" t="s">
        <v>84</v>
      </c>
      <c r="D41" s="73"/>
      <c r="E41" s="67"/>
      <c r="F41" s="69"/>
      <c r="G41" s="69"/>
      <c r="H41" s="69"/>
      <c r="I41" s="69"/>
      <c r="J41" s="69"/>
      <c r="K41" s="69"/>
      <c r="L41" s="70">
        <f t="shared" si="4"/>
        <v>0</v>
      </c>
      <c r="M41" s="69"/>
      <c r="N41" s="69"/>
      <c r="O41" s="85"/>
      <c r="P41" s="69"/>
      <c r="Q41" s="69"/>
      <c r="R41" s="69"/>
      <c r="S41" s="69"/>
      <c r="T41" s="70">
        <f t="shared" si="5"/>
        <v>0</v>
      </c>
      <c r="U41" s="67"/>
      <c r="V41" s="84">
        <f t="shared" si="6"/>
        <v>0</v>
      </c>
      <c r="W41" s="102">
        <v>100070182429</v>
      </c>
      <c r="X41" s="103"/>
      <c r="Y41" s="103"/>
    </row>
    <row r="42" spans="1:25" ht="39.75" customHeight="1" x14ac:dyDescent="0.35">
      <c r="A42" s="68">
        <v>31</v>
      </c>
      <c r="B42" s="94" t="s">
        <v>123</v>
      </c>
      <c r="C42" s="72" t="s">
        <v>85</v>
      </c>
      <c r="D42" s="73"/>
      <c r="E42" s="67"/>
      <c r="F42" s="69"/>
      <c r="G42" s="69"/>
      <c r="H42" s="69"/>
      <c r="I42" s="69"/>
      <c r="J42" s="69"/>
      <c r="K42" s="69"/>
      <c r="L42" s="70">
        <f t="shared" si="4"/>
        <v>0</v>
      </c>
      <c r="M42" s="69"/>
      <c r="N42" s="69"/>
      <c r="O42" s="85"/>
      <c r="P42" s="69"/>
      <c r="Q42" s="69"/>
      <c r="R42" s="69"/>
      <c r="S42" s="69"/>
      <c r="T42" s="70">
        <f t="shared" si="5"/>
        <v>0</v>
      </c>
      <c r="U42" s="67"/>
      <c r="V42" s="84">
        <f t="shared" si="6"/>
        <v>0</v>
      </c>
      <c r="W42" s="102">
        <v>100071184506</v>
      </c>
      <c r="X42" s="103"/>
      <c r="Y42" s="103"/>
    </row>
    <row r="43" spans="1:25" ht="39.75" customHeight="1" x14ac:dyDescent="0.35">
      <c r="A43" s="68">
        <v>32</v>
      </c>
      <c r="B43" s="94" t="s">
        <v>86</v>
      </c>
      <c r="C43" s="72" t="s">
        <v>87</v>
      </c>
      <c r="D43" s="73"/>
      <c r="E43" s="67"/>
      <c r="F43" s="69"/>
      <c r="G43" s="69"/>
      <c r="H43" s="69"/>
      <c r="I43" s="69"/>
      <c r="J43" s="69"/>
      <c r="K43" s="69"/>
      <c r="L43" s="70">
        <f t="shared" si="4"/>
        <v>0</v>
      </c>
      <c r="M43" s="69"/>
      <c r="N43" s="69"/>
      <c r="O43" s="85"/>
      <c r="P43" s="69"/>
      <c r="Q43" s="69"/>
      <c r="R43" s="69"/>
      <c r="S43" s="69"/>
      <c r="T43" s="70">
        <f t="shared" si="5"/>
        <v>0</v>
      </c>
      <c r="U43" s="67"/>
      <c r="V43" s="84">
        <f t="shared" si="6"/>
        <v>0</v>
      </c>
      <c r="W43" s="102">
        <v>100071182888</v>
      </c>
      <c r="X43" s="103"/>
      <c r="Y43" s="103"/>
    </row>
    <row r="44" spans="1:25" ht="39.75" customHeight="1" x14ac:dyDescent="0.35">
      <c r="A44" s="68">
        <v>33</v>
      </c>
      <c r="B44" s="94" t="s">
        <v>145</v>
      </c>
      <c r="C44" s="72" t="s">
        <v>107</v>
      </c>
      <c r="D44" s="73"/>
      <c r="E44" s="67"/>
      <c r="F44" s="69"/>
      <c r="G44" s="69"/>
      <c r="H44" s="69"/>
      <c r="I44" s="69"/>
      <c r="J44" s="69"/>
      <c r="K44" s="69"/>
      <c r="L44" s="70">
        <f t="shared" si="4"/>
        <v>0</v>
      </c>
      <c r="M44" s="69"/>
      <c r="N44" s="69"/>
      <c r="O44" s="85"/>
      <c r="P44" s="69"/>
      <c r="Q44" s="69"/>
      <c r="R44" s="69"/>
      <c r="S44" s="69"/>
      <c r="T44" s="70">
        <f t="shared" si="5"/>
        <v>0</v>
      </c>
      <c r="U44" s="67"/>
      <c r="V44" s="84">
        <f t="shared" si="6"/>
        <v>0</v>
      </c>
      <c r="W44" s="102">
        <v>100070085113</v>
      </c>
      <c r="X44" s="103"/>
      <c r="Y44" s="103"/>
    </row>
    <row r="45" spans="1:25" ht="39.75" customHeight="1" x14ac:dyDescent="0.35">
      <c r="A45" s="68">
        <v>34</v>
      </c>
      <c r="B45" s="94" t="s">
        <v>124</v>
      </c>
      <c r="C45" s="72" t="s">
        <v>33</v>
      </c>
      <c r="D45" s="73"/>
      <c r="E45" s="67"/>
      <c r="F45" s="69"/>
      <c r="G45" s="69"/>
      <c r="H45" s="69"/>
      <c r="I45" s="69"/>
      <c r="J45" s="69"/>
      <c r="K45" s="69"/>
      <c r="L45" s="70">
        <f t="shared" si="4"/>
        <v>0</v>
      </c>
      <c r="M45" s="69"/>
      <c r="N45" s="69"/>
      <c r="O45" s="85"/>
      <c r="P45" s="69"/>
      <c r="Q45" s="69"/>
      <c r="R45" s="69"/>
      <c r="S45" s="69"/>
      <c r="T45" s="70">
        <f t="shared" si="5"/>
        <v>0</v>
      </c>
      <c r="U45" s="67"/>
      <c r="V45" s="84">
        <f t="shared" si="6"/>
        <v>0</v>
      </c>
      <c r="W45" s="102">
        <v>100070082564</v>
      </c>
      <c r="X45" s="103"/>
      <c r="Y45" s="103"/>
    </row>
    <row r="46" spans="1:25" ht="39.75" customHeight="1" x14ac:dyDescent="0.35">
      <c r="A46" s="68">
        <v>35</v>
      </c>
      <c r="B46" s="94" t="s">
        <v>88</v>
      </c>
      <c r="C46" s="72" t="s">
        <v>89</v>
      </c>
      <c r="D46" s="73"/>
      <c r="E46" s="67"/>
      <c r="F46" s="69"/>
      <c r="G46" s="69"/>
      <c r="H46" s="69"/>
      <c r="I46" s="69"/>
      <c r="J46" s="69"/>
      <c r="K46" s="69"/>
      <c r="L46" s="70">
        <f t="shared" si="4"/>
        <v>0</v>
      </c>
      <c r="M46" s="69"/>
      <c r="N46" s="69"/>
      <c r="O46" s="85"/>
      <c r="P46" s="69"/>
      <c r="Q46" s="69"/>
      <c r="R46" s="69"/>
      <c r="S46" s="69"/>
      <c r="T46" s="70">
        <f t="shared" si="5"/>
        <v>0</v>
      </c>
      <c r="U46" s="67"/>
      <c r="V46" s="84">
        <f t="shared" si="6"/>
        <v>0</v>
      </c>
      <c r="W46" s="102">
        <v>100070193587</v>
      </c>
      <c r="X46" s="103"/>
      <c r="Y46" s="103"/>
    </row>
    <row r="47" spans="1:25" ht="39.75" customHeight="1" x14ac:dyDescent="0.35">
      <c r="A47" s="68">
        <v>36</v>
      </c>
      <c r="B47" s="94" t="s">
        <v>125</v>
      </c>
      <c r="C47" s="72" t="s">
        <v>90</v>
      </c>
      <c r="D47" s="73"/>
      <c r="E47" s="67"/>
      <c r="F47" s="69"/>
      <c r="G47" s="69"/>
      <c r="H47" s="69"/>
      <c r="I47" s="69"/>
      <c r="J47" s="69"/>
      <c r="K47" s="69"/>
      <c r="L47" s="70">
        <f t="shared" si="4"/>
        <v>0</v>
      </c>
      <c r="M47" s="84"/>
      <c r="N47" s="69"/>
      <c r="O47" s="85"/>
      <c r="P47" s="69"/>
      <c r="Q47" s="69"/>
      <c r="R47" s="69"/>
      <c r="S47" s="69"/>
      <c r="T47" s="70">
        <f t="shared" si="5"/>
        <v>0</v>
      </c>
      <c r="U47" s="67"/>
      <c r="V47" s="84">
        <f t="shared" si="6"/>
        <v>0</v>
      </c>
      <c r="W47" s="102">
        <v>100070077234</v>
      </c>
      <c r="X47" s="103"/>
      <c r="Y47" s="103"/>
    </row>
    <row r="48" spans="1:25" ht="39.75" customHeight="1" x14ac:dyDescent="0.35">
      <c r="A48" s="68">
        <v>37</v>
      </c>
      <c r="B48" s="94" t="s">
        <v>126</v>
      </c>
      <c r="C48" s="72" t="s">
        <v>91</v>
      </c>
      <c r="D48" s="73"/>
      <c r="E48" s="67"/>
      <c r="F48" s="69"/>
      <c r="G48" s="69"/>
      <c r="H48" s="69"/>
      <c r="I48" s="69"/>
      <c r="J48" s="69"/>
      <c r="K48" s="69"/>
      <c r="L48" s="70">
        <f t="shared" si="4"/>
        <v>0</v>
      </c>
      <c r="M48" s="69"/>
      <c r="N48" s="69"/>
      <c r="O48" s="85"/>
      <c r="P48" s="69"/>
      <c r="Q48" s="69"/>
      <c r="R48" s="69"/>
      <c r="S48" s="69"/>
      <c r="T48" s="70">
        <f t="shared" si="5"/>
        <v>0</v>
      </c>
      <c r="U48" s="67"/>
      <c r="V48" s="84">
        <f t="shared" si="6"/>
        <v>0</v>
      </c>
      <c r="W48" s="102">
        <v>100070075924</v>
      </c>
      <c r="X48" s="103"/>
      <c r="Y48" s="103"/>
    </row>
    <row r="49" spans="1:25" ht="39.75" customHeight="1" x14ac:dyDescent="0.35">
      <c r="A49" s="68">
        <v>38</v>
      </c>
      <c r="B49" s="94" t="s">
        <v>127</v>
      </c>
      <c r="C49" s="72" t="s">
        <v>92</v>
      </c>
      <c r="D49" s="73"/>
      <c r="E49" s="67"/>
      <c r="F49" s="69"/>
      <c r="G49" s="69"/>
      <c r="H49" s="69"/>
      <c r="I49" s="69"/>
      <c r="J49" s="69"/>
      <c r="K49" s="69"/>
      <c r="L49" s="70">
        <f t="shared" si="4"/>
        <v>0</v>
      </c>
      <c r="M49" s="69"/>
      <c r="N49" s="69"/>
      <c r="O49" s="85"/>
      <c r="P49" s="69"/>
      <c r="Q49" s="69"/>
      <c r="R49" s="69"/>
      <c r="S49" s="69"/>
      <c r="T49" s="70">
        <f t="shared" si="5"/>
        <v>0</v>
      </c>
      <c r="U49" s="67"/>
      <c r="V49" s="84">
        <f t="shared" si="6"/>
        <v>0</v>
      </c>
      <c r="W49" s="102">
        <v>100071193246</v>
      </c>
      <c r="X49" s="103"/>
      <c r="Y49" s="103"/>
    </row>
    <row r="50" spans="1:25" ht="39.75" customHeight="1" x14ac:dyDescent="0.35">
      <c r="A50" s="68">
        <v>39</v>
      </c>
      <c r="B50" s="94" t="s">
        <v>128</v>
      </c>
      <c r="C50" s="72" t="s">
        <v>92</v>
      </c>
      <c r="D50" s="73"/>
      <c r="E50" s="67"/>
      <c r="F50" s="69"/>
      <c r="G50" s="69"/>
      <c r="H50" s="69"/>
      <c r="I50" s="69"/>
      <c r="J50" s="69"/>
      <c r="K50" s="69"/>
      <c r="L50" s="70">
        <f t="shared" si="4"/>
        <v>0</v>
      </c>
      <c r="M50" s="69"/>
      <c r="N50" s="69"/>
      <c r="O50" s="85"/>
      <c r="P50" s="69"/>
      <c r="Q50" s="69"/>
      <c r="R50" s="69"/>
      <c r="S50" s="69"/>
      <c r="T50" s="70">
        <f t="shared" si="5"/>
        <v>0</v>
      </c>
      <c r="U50" s="67"/>
      <c r="V50" s="84">
        <f t="shared" si="6"/>
        <v>0</v>
      </c>
      <c r="W50" s="102">
        <v>100070184367</v>
      </c>
      <c r="X50" s="103"/>
      <c r="Y50" s="103"/>
    </row>
    <row r="51" spans="1:25" ht="39.75" customHeight="1" x14ac:dyDescent="0.35">
      <c r="A51" s="68">
        <v>40</v>
      </c>
      <c r="B51" s="95" t="s">
        <v>129</v>
      </c>
      <c r="C51" s="72" t="s">
        <v>93</v>
      </c>
      <c r="D51" s="73"/>
      <c r="E51" s="67"/>
      <c r="F51" s="69"/>
      <c r="G51" s="69"/>
      <c r="H51" s="69"/>
      <c r="I51" s="69"/>
      <c r="J51" s="69"/>
      <c r="K51" s="69"/>
      <c r="L51" s="70">
        <f t="shared" si="4"/>
        <v>0</v>
      </c>
      <c r="M51" s="69"/>
      <c r="N51" s="69"/>
      <c r="O51" s="85"/>
      <c r="P51" s="69"/>
      <c r="Q51" s="69"/>
      <c r="R51" s="69"/>
      <c r="S51" s="69"/>
      <c r="T51" s="70">
        <f t="shared" si="5"/>
        <v>0</v>
      </c>
      <c r="U51" s="67"/>
      <c r="V51" s="84">
        <f t="shared" si="6"/>
        <v>0</v>
      </c>
      <c r="W51" s="102">
        <v>100071205945</v>
      </c>
      <c r="X51" s="103"/>
      <c r="Y51" s="103"/>
    </row>
    <row r="52" spans="1:25" ht="39.75" customHeight="1" x14ac:dyDescent="0.35">
      <c r="A52" s="68">
        <v>41</v>
      </c>
      <c r="B52" s="95" t="s">
        <v>106</v>
      </c>
      <c r="C52" s="72" t="s">
        <v>93</v>
      </c>
      <c r="D52" s="73"/>
      <c r="E52" s="67"/>
      <c r="F52" s="69"/>
      <c r="G52" s="69"/>
      <c r="H52" s="69"/>
      <c r="I52" s="69"/>
      <c r="J52" s="69"/>
      <c r="K52" s="69"/>
      <c r="L52" s="70">
        <f t="shared" si="4"/>
        <v>0</v>
      </c>
      <c r="M52" s="69"/>
      <c r="N52" s="69"/>
      <c r="O52" s="85"/>
      <c r="P52" s="69"/>
      <c r="Q52" s="69"/>
      <c r="R52" s="69"/>
      <c r="S52" s="69"/>
      <c r="T52" s="70">
        <f t="shared" si="5"/>
        <v>0</v>
      </c>
      <c r="U52" s="67"/>
      <c r="V52" s="84">
        <f t="shared" si="6"/>
        <v>0</v>
      </c>
      <c r="W52" s="102">
        <v>100070187951</v>
      </c>
      <c r="X52" s="103"/>
      <c r="Y52" s="103"/>
    </row>
    <row r="53" spans="1:25" ht="39.75" customHeight="1" x14ac:dyDescent="0.35">
      <c r="A53" s="68">
        <v>42</v>
      </c>
      <c r="B53" s="94" t="s">
        <v>130</v>
      </c>
      <c r="C53" s="72" t="s">
        <v>94</v>
      </c>
      <c r="D53" s="73"/>
      <c r="E53" s="67"/>
      <c r="F53" s="69"/>
      <c r="G53" s="69"/>
      <c r="H53" s="69"/>
      <c r="I53" s="69"/>
      <c r="J53" s="69"/>
      <c r="K53" s="69"/>
      <c r="L53" s="70">
        <f t="shared" si="4"/>
        <v>0</v>
      </c>
      <c r="M53" s="69"/>
      <c r="N53" s="69"/>
      <c r="O53" s="85"/>
      <c r="P53" s="69"/>
      <c r="Q53" s="69"/>
      <c r="R53" s="69"/>
      <c r="S53" s="69"/>
      <c r="T53" s="70">
        <f t="shared" si="5"/>
        <v>0</v>
      </c>
      <c r="U53" s="67"/>
      <c r="V53" s="84">
        <f t="shared" si="6"/>
        <v>0</v>
      </c>
      <c r="W53" s="102">
        <v>100070187404</v>
      </c>
      <c r="X53" s="103"/>
      <c r="Y53" s="103"/>
    </row>
    <row r="54" spans="1:25" ht="39.75" customHeight="1" x14ac:dyDescent="0.35">
      <c r="A54" s="68">
        <v>43</v>
      </c>
      <c r="B54" s="94" t="s">
        <v>150</v>
      </c>
      <c r="C54" s="72" t="s">
        <v>94</v>
      </c>
      <c r="D54" s="73"/>
      <c r="E54" s="67"/>
      <c r="F54" s="69"/>
      <c r="G54" s="69"/>
      <c r="H54" s="69"/>
      <c r="I54" s="69"/>
      <c r="J54" s="69"/>
      <c r="K54" s="69"/>
      <c r="L54" s="70">
        <f t="shared" si="4"/>
        <v>0</v>
      </c>
      <c r="M54" s="69"/>
      <c r="N54" s="69"/>
      <c r="O54" s="85"/>
      <c r="P54" s="69"/>
      <c r="Q54" s="69"/>
      <c r="R54" s="69"/>
      <c r="S54" s="69"/>
      <c r="T54" s="70">
        <f t="shared" si="5"/>
        <v>0</v>
      </c>
      <c r="U54" s="67"/>
      <c r="V54" s="84">
        <f t="shared" si="6"/>
        <v>0</v>
      </c>
      <c r="W54" s="102">
        <v>100071197877</v>
      </c>
      <c r="X54" s="103"/>
      <c r="Y54" s="103"/>
    </row>
    <row r="55" spans="1:25" ht="39.75" customHeight="1" x14ac:dyDescent="0.35">
      <c r="A55" s="68">
        <v>44</v>
      </c>
      <c r="B55" s="94" t="s">
        <v>157</v>
      </c>
      <c r="C55" s="72" t="s">
        <v>94</v>
      </c>
      <c r="D55" s="73"/>
      <c r="E55" s="67"/>
      <c r="F55" s="69"/>
      <c r="G55" s="69"/>
      <c r="H55" s="69"/>
      <c r="I55" s="69"/>
      <c r="J55" s="69"/>
      <c r="K55" s="69"/>
      <c r="L55" s="70">
        <f t="shared" si="4"/>
        <v>0</v>
      </c>
      <c r="M55" s="69"/>
      <c r="N55" s="69"/>
      <c r="O55" s="85"/>
      <c r="P55" s="69"/>
      <c r="Q55" s="69"/>
      <c r="R55" s="69"/>
      <c r="S55" s="69"/>
      <c r="T55" s="70">
        <f t="shared" si="5"/>
        <v>0</v>
      </c>
      <c r="U55" s="67"/>
      <c r="V55" s="105">
        <f t="shared" si="6"/>
        <v>0</v>
      </c>
      <c r="W55" s="106"/>
      <c r="X55" s="107"/>
      <c r="Y55" s="107"/>
    </row>
    <row r="56" spans="1:25" ht="39.75" customHeight="1" x14ac:dyDescent="0.35">
      <c r="A56" s="68">
        <v>45</v>
      </c>
      <c r="B56" s="94" t="s">
        <v>158</v>
      </c>
      <c r="C56" s="72" t="s">
        <v>94</v>
      </c>
      <c r="D56" s="73"/>
      <c r="E56" s="67"/>
      <c r="F56" s="69"/>
      <c r="G56" s="69"/>
      <c r="H56" s="69"/>
      <c r="I56" s="69"/>
      <c r="J56" s="69"/>
      <c r="K56" s="69"/>
      <c r="L56" s="70">
        <f t="shared" si="4"/>
        <v>0</v>
      </c>
      <c r="M56" s="69"/>
      <c r="N56" s="69"/>
      <c r="O56" s="85"/>
      <c r="P56" s="69"/>
      <c r="Q56" s="69"/>
      <c r="R56" s="69"/>
      <c r="S56" s="69"/>
      <c r="T56" s="70">
        <f t="shared" si="5"/>
        <v>0</v>
      </c>
      <c r="U56" s="67"/>
      <c r="V56" s="105">
        <f t="shared" si="6"/>
        <v>0</v>
      </c>
      <c r="W56" s="106"/>
      <c r="X56" s="107"/>
      <c r="Y56" s="107"/>
    </row>
    <row r="57" spans="1:25" s="104" customFormat="1" ht="39.75" customHeight="1" x14ac:dyDescent="0.35">
      <c r="A57" s="97">
        <v>46</v>
      </c>
      <c r="B57" s="98" t="s">
        <v>131</v>
      </c>
      <c r="C57" s="99" t="s">
        <v>95</v>
      </c>
      <c r="D57" s="100"/>
      <c r="E57" s="96"/>
      <c r="F57" s="84"/>
      <c r="G57" s="84"/>
      <c r="H57" s="84"/>
      <c r="I57" s="84"/>
      <c r="J57" s="84"/>
      <c r="K57" s="84"/>
      <c r="L57" s="84">
        <f t="shared" si="4"/>
        <v>0</v>
      </c>
      <c r="M57" s="84"/>
      <c r="N57" s="84"/>
      <c r="O57" s="101"/>
      <c r="P57" s="84"/>
      <c r="Q57" s="84"/>
      <c r="R57" s="84"/>
      <c r="S57" s="84"/>
      <c r="T57" s="84">
        <f t="shared" si="5"/>
        <v>0</v>
      </c>
      <c r="U57" s="96"/>
      <c r="V57" s="84">
        <f t="shared" si="6"/>
        <v>0</v>
      </c>
      <c r="W57" s="102">
        <v>100070081298</v>
      </c>
      <c r="X57" s="103"/>
      <c r="Y57" s="103"/>
    </row>
    <row r="58" spans="1:25" ht="39.75" customHeight="1" x14ac:dyDescent="0.35">
      <c r="A58" s="68">
        <v>47</v>
      </c>
      <c r="B58" s="94" t="s">
        <v>132</v>
      </c>
      <c r="C58" s="72" t="s">
        <v>96</v>
      </c>
      <c r="D58" s="73"/>
      <c r="E58" s="67"/>
      <c r="F58" s="69"/>
      <c r="G58" s="69"/>
      <c r="H58" s="69"/>
      <c r="I58" s="69"/>
      <c r="J58" s="69"/>
      <c r="K58" s="69"/>
      <c r="L58" s="70">
        <f t="shared" si="4"/>
        <v>0</v>
      </c>
      <c r="M58" s="69"/>
      <c r="N58" s="69"/>
      <c r="O58" s="85"/>
      <c r="P58" s="69"/>
      <c r="Q58" s="69"/>
      <c r="R58" s="69"/>
      <c r="S58" s="69"/>
      <c r="T58" s="70">
        <f t="shared" si="5"/>
        <v>0</v>
      </c>
      <c r="U58" s="67"/>
      <c r="V58" s="84">
        <f t="shared" si="6"/>
        <v>0</v>
      </c>
      <c r="W58" s="102">
        <v>100070083358</v>
      </c>
      <c r="X58" s="103"/>
      <c r="Y58" s="103"/>
    </row>
    <row r="59" spans="1:25" ht="39.75" customHeight="1" x14ac:dyDescent="0.35">
      <c r="A59" s="68">
        <v>48</v>
      </c>
      <c r="B59" s="94" t="s">
        <v>133</v>
      </c>
      <c r="C59" s="72" t="s">
        <v>96</v>
      </c>
      <c r="D59" s="73"/>
      <c r="E59" s="67"/>
      <c r="F59" s="69"/>
      <c r="G59" s="69"/>
      <c r="H59" s="69"/>
      <c r="I59" s="69"/>
      <c r="J59" s="69"/>
      <c r="K59" s="69"/>
      <c r="L59" s="70">
        <f t="shared" si="4"/>
        <v>0</v>
      </c>
      <c r="M59" s="69"/>
      <c r="N59" s="69"/>
      <c r="O59" s="85"/>
      <c r="P59" s="69"/>
      <c r="Q59" s="69"/>
      <c r="R59" s="69"/>
      <c r="S59" s="69"/>
      <c r="T59" s="70">
        <f t="shared" si="5"/>
        <v>0</v>
      </c>
      <c r="U59" s="67"/>
      <c r="V59" s="84">
        <f t="shared" si="6"/>
        <v>0</v>
      </c>
      <c r="W59" s="102">
        <v>100070188745</v>
      </c>
      <c r="X59" s="103"/>
      <c r="Y59" s="103"/>
    </row>
    <row r="60" spans="1:25" ht="39.75" customHeight="1" x14ac:dyDescent="0.35">
      <c r="A60" s="68">
        <v>49</v>
      </c>
      <c r="B60" s="94" t="s">
        <v>134</v>
      </c>
      <c r="C60" s="72" t="s">
        <v>96</v>
      </c>
      <c r="D60" s="73"/>
      <c r="E60" s="67"/>
      <c r="F60" s="69"/>
      <c r="G60" s="69"/>
      <c r="H60" s="69"/>
      <c r="I60" s="69"/>
      <c r="J60" s="69"/>
      <c r="K60" s="69"/>
      <c r="L60" s="70">
        <f t="shared" si="4"/>
        <v>0</v>
      </c>
      <c r="M60" s="69"/>
      <c r="N60" s="69"/>
      <c r="O60" s="85"/>
      <c r="P60" s="69"/>
      <c r="Q60" s="69"/>
      <c r="R60" s="69"/>
      <c r="S60" s="69"/>
      <c r="T60" s="70">
        <f t="shared" si="5"/>
        <v>0</v>
      </c>
      <c r="U60" s="67"/>
      <c r="V60" s="84">
        <f t="shared" si="6"/>
        <v>0</v>
      </c>
      <c r="W60" s="102">
        <v>100071191227</v>
      </c>
      <c r="X60" s="103"/>
      <c r="Y60" s="103"/>
    </row>
    <row r="61" spans="1:25" ht="39.75" customHeight="1" x14ac:dyDescent="0.35">
      <c r="A61" s="68">
        <v>50</v>
      </c>
      <c r="B61" s="94" t="s">
        <v>135</v>
      </c>
      <c r="C61" s="72" t="s">
        <v>96</v>
      </c>
      <c r="D61" s="73"/>
      <c r="E61" s="67"/>
      <c r="F61" s="69"/>
      <c r="G61" s="69"/>
      <c r="H61" s="69"/>
      <c r="I61" s="69"/>
      <c r="J61" s="69"/>
      <c r="K61" s="69"/>
      <c r="L61" s="70">
        <f t="shared" si="4"/>
        <v>0</v>
      </c>
      <c r="M61" s="69"/>
      <c r="N61" s="69"/>
      <c r="O61" s="85"/>
      <c r="P61" s="69"/>
      <c r="Q61" s="69"/>
      <c r="R61" s="69"/>
      <c r="S61" s="69"/>
      <c r="T61" s="70">
        <f t="shared" si="5"/>
        <v>0</v>
      </c>
      <c r="U61" s="67"/>
      <c r="V61" s="84">
        <f t="shared" si="6"/>
        <v>0</v>
      </c>
      <c r="W61" s="102">
        <v>100071189117</v>
      </c>
      <c r="X61" s="103"/>
      <c r="Y61" s="103"/>
    </row>
    <row r="62" spans="1:25" ht="39.75" customHeight="1" x14ac:dyDescent="0.35">
      <c r="A62" s="68">
        <v>51</v>
      </c>
      <c r="B62" s="94" t="s">
        <v>188</v>
      </c>
      <c r="C62" s="72" t="s">
        <v>96</v>
      </c>
      <c r="D62" s="73"/>
      <c r="E62" s="67"/>
      <c r="F62" s="69"/>
      <c r="G62" s="69"/>
      <c r="H62" s="69"/>
      <c r="I62" s="69"/>
      <c r="J62" s="69"/>
      <c r="K62" s="69"/>
      <c r="L62" s="70">
        <f t="shared" si="4"/>
        <v>0</v>
      </c>
      <c r="M62" s="69"/>
      <c r="N62" s="69"/>
      <c r="O62" s="85"/>
      <c r="P62" s="69"/>
      <c r="Q62" s="69"/>
      <c r="R62" s="69"/>
      <c r="S62" s="69"/>
      <c r="T62" s="70">
        <f t="shared" si="5"/>
        <v>0</v>
      </c>
      <c r="U62" s="67"/>
      <c r="V62" s="105">
        <f t="shared" si="6"/>
        <v>0</v>
      </c>
      <c r="W62" s="106"/>
      <c r="X62" s="107"/>
      <c r="Y62" s="107"/>
    </row>
    <row r="63" spans="1:25" ht="39.75" customHeight="1" x14ac:dyDescent="0.35">
      <c r="A63" s="68">
        <v>52</v>
      </c>
      <c r="B63" s="94" t="s">
        <v>136</v>
      </c>
      <c r="C63" s="72" t="s">
        <v>151</v>
      </c>
      <c r="D63" s="73"/>
      <c r="E63" s="67"/>
      <c r="F63" s="69"/>
      <c r="G63" s="69"/>
      <c r="H63" s="69"/>
      <c r="I63" s="69"/>
      <c r="J63" s="69"/>
      <c r="K63" s="69"/>
      <c r="L63" s="70">
        <f t="shared" si="4"/>
        <v>0</v>
      </c>
      <c r="M63" s="69"/>
      <c r="N63" s="69"/>
      <c r="O63" s="85"/>
      <c r="P63" s="69"/>
      <c r="Q63" s="69"/>
      <c r="R63" s="69"/>
      <c r="S63" s="69"/>
      <c r="T63" s="70">
        <f t="shared" si="5"/>
        <v>0</v>
      </c>
      <c r="U63" s="67"/>
      <c r="V63" s="84">
        <f t="shared" si="6"/>
        <v>0</v>
      </c>
      <c r="W63" s="102">
        <v>100070070628</v>
      </c>
      <c r="X63" s="103"/>
      <c r="Y63" s="103"/>
    </row>
    <row r="64" spans="1:25" ht="39.75" customHeight="1" x14ac:dyDescent="0.35">
      <c r="A64" s="68">
        <v>53</v>
      </c>
      <c r="B64" s="94" t="s">
        <v>182</v>
      </c>
      <c r="C64" s="72" t="s">
        <v>183</v>
      </c>
      <c r="D64" s="73"/>
      <c r="E64" s="67"/>
      <c r="F64" s="69"/>
      <c r="G64" s="69"/>
      <c r="H64" s="69"/>
      <c r="I64" s="69"/>
      <c r="J64" s="69"/>
      <c r="K64" s="69"/>
      <c r="L64" s="70">
        <f t="shared" si="4"/>
        <v>0</v>
      </c>
      <c r="M64" s="69"/>
      <c r="N64" s="69"/>
      <c r="O64" s="85"/>
      <c r="P64" s="69"/>
      <c r="Q64" s="69"/>
      <c r="R64" s="69"/>
      <c r="S64" s="69"/>
      <c r="T64" s="70">
        <f t="shared" si="5"/>
        <v>0</v>
      </c>
      <c r="U64" s="67"/>
      <c r="V64" s="105">
        <f t="shared" si="6"/>
        <v>0</v>
      </c>
      <c r="W64" s="106"/>
      <c r="X64" s="107"/>
      <c r="Y64" s="107" t="s">
        <v>184</v>
      </c>
    </row>
    <row r="65" spans="1:25" s="104" customFormat="1" ht="39.75" customHeight="1" x14ac:dyDescent="0.35">
      <c r="A65" s="97">
        <v>54</v>
      </c>
      <c r="B65" s="98" t="s">
        <v>137</v>
      </c>
      <c r="C65" s="99" t="s">
        <v>97</v>
      </c>
      <c r="D65" s="100"/>
      <c r="E65" s="96"/>
      <c r="F65" s="84"/>
      <c r="G65" s="84"/>
      <c r="H65" s="84"/>
      <c r="I65" s="84"/>
      <c r="J65" s="84"/>
      <c r="K65" s="84"/>
      <c r="L65" s="84">
        <f t="shared" si="4"/>
        <v>0</v>
      </c>
      <c r="M65" s="84"/>
      <c r="N65" s="84"/>
      <c r="O65" s="101"/>
      <c r="P65" s="84"/>
      <c r="Q65" s="84"/>
      <c r="R65" s="84"/>
      <c r="S65" s="84"/>
      <c r="T65" s="84">
        <f t="shared" si="5"/>
        <v>0</v>
      </c>
      <c r="U65" s="96"/>
      <c r="V65" s="84">
        <v>0</v>
      </c>
      <c r="W65" s="102">
        <v>100070191126</v>
      </c>
      <c r="X65" s="103"/>
      <c r="Y65" s="103"/>
    </row>
    <row r="66" spans="1:25" s="104" customFormat="1" ht="39.75" customHeight="1" x14ac:dyDescent="0.35">
      <c r="A66" s="97">
        <v>55</v>
      </c>
      <c r="B66" s="98" t="s">
        <v>138</v>
      </c>
      <c r="C66" s="99" t="s">
        <v>67</v>
      </c>
      <c r="D66" s="100"/>
      <c r="E66" s="96"/>
      <c r="F66" s="84"/>
      <c r="G66" s="84"/>
      <c r="H66" s="84"/>
      <c r="I66" s="84"/>
      <c r="J66" s="84"/>
      <c r="K66" s="84"/>
      <c r="L66" s="84">
        <f t="shared" si="4"/>
        <v>0</v>
      </c>
      <c r="M66" s="84"/>
      <c r="N66" s="84"/>
      <c r="O66" s="101"/>
      <c r="P66" s="84"/>
      <c r="Q66" s="84"/>
      <c r="R66" s="84"/>
      <c r="S66" s="84"/>
      <c r="T66" s="84">
        <f t="shared" si="5"/>
        <v>0</v>
      </c>
      <c r="U66" s="96"/>
      <c r="V66" s="84">
        <f t="shared" si="6"/>
        <v>0</v>
      </c>
      <c r="W66" s="102">
        <v>100070192297</v>
      </c>
      <c r="X66" s="103"/>
      <c r="Y66" s="103"/>
    </row>
    <row r="67" spans="1:25" ht="39.75" customHeight="1" x14ac:dyDescent="0.35">
      <c r="A67" s="68">
        <v>56</v>
      </c>
      <c r="B67" s="94" t="s">
        <v>139</v>
      </c>
      <c r="C67" s="72" t="s">
        <v>98</v>
      </c>
      <c r="D67" s="73"/>
      <c r="E67" s="67"/>
      <c r="F67" s="69"/>
      <c r="G67" s="69"/>
      <c r="H67" s="69"/>
      <c r="I67" s="69"/>
      <c r="J67" s="69"/>
      <c r="K67" s="69"/>
      <c r="L67" s="70">
        <f t="shared" si="4"/>
        <v>0</v>
      </c>
      <c r="M67" s="69"/>
      <c r="N67" s="69"/>
      <c r="O67" s="85"/>
      <c r="P67" s="69"/>
      <c r="Q67" s="69"/>
      <c r="R67" s="69"/>
      <c r="S67" s="69"/>
      <c r="T67" s="70">
        <f t="shared" si="5"/>
        <v>0</v>
      </c>
      <c r="U67" s="67"/>
      <c r="V67" s="84">
        <f t="shared" si="6"/>
        <v>0</v>
      </c>
      <c r="W67" s="102">
        <v>100070181821</v>
      </c>
      <c r="X67" s="103"/>
      <c r="Y67" s="103"/>
    </row>
    <row r="68" spans="1:25" ht="39.75" customHeight="1" x14ac:dyDescent="0.35">
      <c r="A68" s="68">
        <v>57</v>
      </c>
      <c r="B68" s="94" t="s">
        <v>99</v>
      </c>
      <c r="C68" s="72" t="s">
        <v>67</v>
      </c>
      <c r="D68" s="73"/>
      <c r="E68" s="67"/>
      <c r="F68" s="69"/>
      <c r="G68" s="69"/>
      <c r="H68" s="69"/>
      <c r="I68" s="69"/>
      <c r="J68" s="69"/>
      <c r="K68" s="69"/>
      <c r="L68" s="70">
        <f t="shared" si="4"/>
        <v>0</v>
      </c>
      <c r="M68" s="69"/>
      <c r="N68" s="69"/>
      <c r="O68" s="85"/>
      <c r="P68" s="69"/>
      <c r="Q68" s="69"/>
      <c r="R68" s="69"/>
      <c r="S68" s="69"/>
      <c r="T68" s="70">
        <f t="shared" si="5"/>
        <v>0</v>
      </c>
      <c r="U68" s="67"/>
      <c r="V68" s="84">
        <f t="shared" si="6"/>
        <v>0</v>
      </c>
      <c r="W68" s="102">
        <v>100071194293</v>
      </c>
      <c r="X68" s="103"/>
      <c r="Y68" s="103"/>
    </row>
    <row r="69" spans="1:25" ht="39.75" customHeight="1" x14ac:dyDescent="0.35">
      <c r="A69" s="68">
        <v>58</v>
      </c>
      <c r="B69" s="94" t="s">
        <v>140</v>
      </c>
      <c r="C69" s="72" t="s">
        <v>98</v>
      </c>
      <c r="D69" s="73"/>
      <c r="E69" s="67"/>
      <c r="F69" s="69"/>
      <c r="G69" s="69"/>
      <c r="H69" s="69"/>
      <c r="I69" s="69"/>
      <c r="J69" s="69"/>
      <c r="K69" s="69"/>
      <c r="L69" s="70">
        <f t="shared" si="4"/>
        <v>0</v>
      </c>
      <c r="M69" s="69"/>
      <c r="N69" s="69"/>
      <c r="O69" s="85"/>
      <c r="P69" s="69"/>
      <c r="Q69" s="69"/>
      <c r="R69" s="69"/>
      <c r="S69" s="69"/>
      <c r="T69" s="70">
        <f t="shared" si="5"/>
        <v>0</v>
      </c>
      <c r="U69" s="67"/>
      <c r="V69" s="84">
        <f t="shared" si="6"/>
        <v>0</v>
      </c>
      <c r="W69" s="102">
        <v>100070086012</v>
      </c>
      <c r="X69" s="103"/>
      <c r="Y69" s="103"/>
    </row>
    <row r="70" spans="1:25" ht="39.75" customHeight="1" x14ac:dyDescent="0.35">
      <c r="A70" s="68">
        <v>59</v>
      </c>
      <c r="B70" s="94" t="s">
        <v>141</v>
      </c>
      <c r="C70" s="72" t="s">
        <v>98</v>
      </c>
      <c r="D70" s="73"/>
      <c r="E70" s="67"/>
      <c r="F70" s="69"/>
      <c r="G70" s="69"/>
      <c r="H70" s="69"/>
      <c r="I70" s="69"/>
      <c r="J70" s="69"/>
      <c r="K70" s="69"/>
      <c r="L70" s="70">
        <f t="shared" si="4"/>
        <v>0</v>
      </c>
      <c r="M70" s="69"/>
      <c r="N70" s="69"/>
      <c r="O70" s="85"/>
      <c r="P70" s="69"/>
      <c r="Q70" s="69"/>
      <c r="R70" s="69"/>
      <c r="S70" s="69"/>
      <c r="T70" s="70">
        <f t="shared" ref="T70" si="7">N70+O70+P70+Q70+R70+S70</f>
        <v>0</v>
      </c>
      <c r="U70" s="67"/>
      <c r="V70" s="84">
        <f t="shared" si="6"/>
        <v>0</v>
      </c>
      <c r="W70" s="102">
        <v>100070180876</v>
      </c>
      <c r="X70" s="108"/>
      <c r="Y70" s="103"/>
    </row>
    <row r="71" spans="1:25" ht="39.75" customHeight="1" x14ac:dyDescent="0.35">
      <c r="A71" s="68">
        <v>60</v>
      </c>
      <c r="B71" s="94" t="s">
        <v>142</v>
      </c>
      <c r="C71" s="72" t="s">
        <v>68</v>
      </c>
      <c r="D71" s="73"/>
      <c r="E71" s="67"/>
      <c r="F71" s="69"/>
      <c r="G71" s="69"/>
      <c r="H71" s="69"/>
      <c r="I71" s="69"/>
      <c r="J71" s="69"/>
      <c r="K71" s="69"/>
      <c r="L71" s="70">
        <f t="shared" si="4"/>
        <v>0</v>
      </c>
      <c r="M71" s="69"/>
      <c r="N71" s="69"/>
      <c r="O71" s="85"/>
      <c r="P71" s="69"/>
      <c r="Q71" s="69"/>
      <c r="R71" s="69"/>
      <c r="S71" s="69"/>
      <c r="T71" s="70">
        <f t="shared" ref="T71:T75" si="8">N71+O71+P71+Q71+R71+S71</f>
        <v>0</v>
      </c>
      <c r="U71" s="67"/>
      <c r="V71" s="84">
        <f t="shared" si="6"/>
        <v>0</v>
      </c>
      <c r="W71" s="102">
        <v>100070194672</v>
      </c>
      <c r="X71" s="108"/>
      <c r="Y71" s="103"/>
    </row>
    <row r="72" spans="1:25" ht="39.75" customHeight="1" x14ac:dyDescent="0.35">
      <c r="A72" s="68">
        <v>61</v>
      </c>
      <c r="B72" s="94" t="s">
        <v>143</v>
      </c>
      <c r="C72" s="72" t="s">
        <v>68</v>
      </c>
      <c r="D72" s="73"/>
      <c r="E72" s="67"/>
      <c r="F72" s="69"/>
      <c r="G72" s="69"/>
      <c r="H72" s="69"/>
      <c r="I72" s="69"/>
      <c r="J72" s="69"/>
      <c r="K72" s="69"/>
      <c r="L72" s="70">
        <f t="shared" si="4"/>
        <v>0</v>
      </c>
      <c r="M72" s="69"/>
      <c r="N72" s="69"/>
      <c r="O72" s="85"/>
      <c r="P72" s="69"/>
      <c r="Q72" s="69"/>
      <c r="R72" s="69"/>
      <c r="S72" s="69"/>
      <c r="T72" s="70">
        <f t="shared" si="8"/>
        <v>0</v>
      </c>
      <c r="U72" s="67"/>
      <c r="V72" s="84">
        <f t="shared" si="6"/>
        <v>0</v>
      </c>
      <c r="W72" s="102">
        <v>100070192874</v>
      </c>
      <c r="X72" s="108"/>
      <c r="Y72" s="103"/>
    </row>
    <row r="73" spans="1:25" ht="39.75" customHeight="1" x14ac:dyDescent="0.35">
      <c r="A73" s="68">
        <v>62</v>
      </c>
      <c r="B73" s="94" t="s">
        <v>144</v>
      </c>
      <c r="C73" s="72" t="s">
        <v>100</v>
      </c>
      <c r="D73" s="73"/>
      <c r="E73" s="67"/>
      <c r="F73" s="69"/>
      <c r="G73" s="69"/>
      <c r="H73" s="69"/>
      <c r="I73" s="69"/>
      <c r="J73" s="69"/>
      <c r="K73" s="69"/>
      <c r="L73" s="70">
        <f>F73+G73+H73+J73+K73</f>
        <v>0</v>
      </c>
      <c r="M73" s="69"/>
      <c r="N73" s="69"/>
      <c r="O73" s="85"/>
      <c r="P73" s="69"/>
      <c r="Q73" s="69"/>
      <c r="R73" s="69"/>
      <c r="S73" s="69"/>
      <c r="T73" s="70">
        <f t="shared" ref="T73:T74" si="9">N73+O73+P73+Q73+R73+S73</f>
        <v>0</v>
      </c>
      <c r="U73" s="67"/>
      <c r="V73" s="84">
        <f t="shared" si="6"/>
        <v>0</v>
      </c>
      <c r="W73" s="102">
        <v>100070190219</v>
      </c>
      <c r="X73" s="108"/>
      <c r="Y73" s="103"/>
    </row>
    <row r="74" spans="1:25" ht="39.75" customHeight="1" x14ac:dyDescent="0.35">
      <c r="A74" s="68">
        <v>63</v>
      </c>
      <c r="B74" s="94" t="s">
        <v>159</v>
      </c>
      <c r="C74" s="72" t="s">
        <v>100</v>
      </c>
      <c r="D74" s="73"/>
      <c r="E74" s="67"/>
      <c r="F74" s="69"/>
      <c r="G74" s="69"/>
      <c r="H74" s="69"/>
      <c r="I74" s="69"/>
      <c r="J74" s="69"/>
      <c r="K74" s="69"/>
      <c r="L74" s="70">
        <f>F74+G74+H74+J74+K74</f>
        <v>0</v>
      </c>
      <c r="M74" s="69"/>
      <c r="N74" s="69"/>
      <c r="O74" s="85"/>
      <c r="P74" s="69"/>
      <c r="Q74" s="69"/>
      <c r="R74" s="69"/>
      <c r="S74" s="69"/>
      <c r="T74" s="70">
        <f t="shared" si="9"/>
        <v>0</v>
      </c>
      <c r="U74" s="67"/>
      <c r="V74" s="105">
        <f t="shared" si="6"/>
        <v>0</v>
      </c>
      <c r="W74" s="106"/>
      <c r="X74" s="110"/>
      <c r="Y74" s="107"/>
    </row>
    <row r="75" spans="1:25" ht="39.75" customHeight="1" x14ac:dyDescent="0.35">
      <c r="A75" s="68"/>
      <c r="B75" s="71"/>
      <c r="C75" s="72"/>
      <c r="D75" s="73"/>
      <c r="E75" s="67"/>
      <c r="F75" s="69"/>
      <c r="G75" s="69"/>
      <c r="H75" s="69"/>
      <c r="I75" s="69"/>
      <c r="J75" s="69"/>
      <c r="K75" s="69"/>
      <c r="L75" s="70">
        <f t="shared" ref="L75" si="10">F75+G75+H75+J75+K75</f>
        <v>0</v>
      </c>
      <c r="M75" s="69"/>
      <c r="N75" s="69"/>
      <c r="O75" s="93"/>
      <c r="P75" s="69"/>
      <c r="Q75" s="69"/>
      <c r="R75" s="69"/>
      <c r="S75" s="69"/>
      <c r="T75" s="70">
        <f t="shared" si="8"/>
        <v>0</v>
      </c>
      <c r="U75" s="67"/>
      <c r="V75" s="69">
        <f t="shared" si="6"/>
        <v>0</v>
      </c>
      <c r="W75" s="81"/>
      <c r="X75" s="80"/>
      <c r="Y75" s="74"/>
    </row>
    <row r="76" spans="1:25" ht="39.75" customHeight="1" x14ac:dyDescent="0.35">
      <c r="A76" s="126" t="s">
        <v>58</v>
      </c>
      <c r="B76" s="127"/>
      <c r="C76" s="76"/>
      <c r="D76" s="77">
        <f>SUM(D12:D75)</f>
        <v>0</v>
      </c>
      <c r="E76" s="67"/>
      <c r="F76" s="78">
        <f t="shared" ref="F76:T76" si="11">SUM(F12:F75)</f>
        <v>0</v>
      </c>
      <c r="G76" s="78">
        <f t="shared" si="11"/>
        <v>0</v>
      </c>
      <c r="H76" s="78">
        <f t="shared" si="11"/>
        <v>0</v>
      </c>
      <c r="I76" s="78">
        <f t="shared" si="11"/>
        <v>0</v>
      </c>
      <c r="J76" s="78">
        <f t="shared" si="11"/>
        <v>0</v>
      </c>
      <c r="K76" s="78">
        <f t="shared" si="11"/>
        <v>0</v>
      </c>
      <c r="L76" s="78">
        <f t="shared" si="11"/>
        <v>0</v>
      </c>
      <c r="M76" s="78">
        <f t="shared" si="11"/>
        <v>0</v>
      </c>
      <c r="N76" s="78">
        <f t="shared" si="11"/>
        <v>0</v>
      </c>
      <c r="O76" s="78">
        <f t="shared" si="11"/>
        <v>0</v>
      </c>
      <c r="P76" s="78">
        <f t="shared" si="11"/>
        <v>0</v>
      </c>
      <c r="Q76" s="78">
        <f t="shared" si="11"/>
        <v>0</v>
      </c>
      <c r="R76" s="78">
        <f t="shared" si="11"/>
        <v>0</v>
      </c>
      <c r="S76" s="78">
        <f t="shared" si="11"/>
        <v>0</v>
      </c>
      <c r="T76" s="78">
        <f t="shared" si="11"/>
        <v>0</v>
      </c>
      <c r="U76" s="67"/>
      <c r="V76" s="79">
        <f>SUM(V12:V75)</f>
        <v>0</v>
      </c>
      <c r="W76" s="128" t="s">
        <v>15</v>
      </c>
      <c r="X76" s="128"/>
    </row>
    <row r="77" spans="1:25" ht="6.75" customHeight="1" x14ac:dyDescent="0.35">
      <c r="B77" s="67"/>
      <c r="C77" s="67"/>
      <c r="D77" s="53"/>
      <c r="F77" s="53"/>
      <c r="G77" s="53"/>
      <c r="H77" s="53"/>
      <c r="L77" s="67"/>
      <c r="O77" s="67"/>
      <c r="P77" s="67"/>
      <c r="Q77" s="67"/>
      <c r="R77" s="67"/>
      <c r="S77" s="67"/>
    </row>
    <row r="78" spans="1:25" ht="15.75" customHeight="1" x14ac:dyDescent="0.35"/>
    <row r="79" spans="1:25" ht="27" customHeight="1" x14ac:dyDescent="0.35">
      <c r="H79" s="51" t="s">
        <v>61</v>
      </c>
      <c r="T79" s="51" t="s">
        <v>73</v>
      </c>
    </row>
    <row r="80" spans="1:25" ht="27" customHeight="1" x14ac:dyDescent="0.35">
      <c r="H80" s="51" t="s">
        <v>72</v>
      </c>
      <c r="T80" s="51" t="s">
        <v>69</v>
      </c>
    </row>
    <row r="81" spans="8:20" ht="27" customHeight="1" x14ac:dyDescent="0.35">
      <c r="H81" s="51" t="s">
        <v>71</v>
      </c>
      <c r="T81" s="51" t="s">
        <v>70</v>
      </c>
    </row>
    <row r="82" spans="8:20" ht="15.75" customHeight="1" x14ac:dyDescent="0.35"/>
    <row r="83" spans="8:20" ht="15.75" customHeight="1" x14ac:dyDescent="0.35"/>
    <row r="84" spans="8:20" ht="15.75" customHeight="1" x14ac:dyDescent="0.35"/>
    <row r="85" spans="8:20" ht="15.75" customHeight="1" x14ac:dyDescent="0.35"/>
    <row r="86" spans="8:20" ht="15.75" customHeight="1" x14ac:dyDescent="0.35"/>
    <row r="87" spans="8:20" ht="15.75" customHeight="1" x14ac:dyDescent="0.35"/>
    <row r="88" spans="8:20" ht="15.75" customHeight="1" x14ac:dyDescent="0.35"/>
    <row r="89" spans="8:20" ht="15.75" customHeight="1" x14ac:dyDescent="0.35"/>
    <row r="90" spans="8:20" ht="15.75" customHeight="1" x14ac:dyDescent="0.35"/>
    <row r="91" spans="8:20" ht="15.75" customHeight="1" x14ac:dyDescent="0.35"/>
    <row r="92" spans="8:20" ht="15.75" customHeight="1" x14ac:dyDescent="0.35"/>
    <row r="93" spans="8:20" ht="15.75" customHeight="1" x14ac:dyDescent="0.35"/>
    <row r="94" spans="8:20" ht="15.75" customHeight="1" x14ac:dyDescent="0.35"/>
    <row r="95" spans="8:20" ht="15.75" customHeight="1" x14ac:dyDescent="0.35"/>
    <row r="96" spans="8:20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  <row r="1015" ht="15.75" customHeight="1" x14ac:dyDescent="0.35"/>
    <row r="1016" ht="15.75" customHeight="1" x14ac:dyDescent="0.35"/>
    <row r="1017" ht="15.75" customHeight="1" x14ac:dyDescent="0.35"/>
    <row r="1018" ht="15.75" customHeight="1" x14ac:dyDescent="0.35"/>
    <row r="1019" ht="15.75" customHeight="1" x14ac:dyDescent="0.35"/>
    <row r="1020" ht="15.75" customHeight="1" x14ac:dyDescent="0.35"/>
    <row r="1021" ht="15.75" customHeight="1" x14ac:dyDescent="0.35"/>
    <row r="1022" ht="15.75" customHeight="1" x14ac:dyDescent="0.35"/>
    <row r="1023" ht="15.75" customHeight="1" x14ac:dyDescent="0.35"/>
    <row r="1024" ht="15.75" customHeight="1" x14ac:dyDescent="0.35"/>
    <row r="1025" ht="15.75" customHeight="1" x14ac:dyDescent="0.35"/>
    <row r="1026" ht="15.75" customHeight="1" x14ac:dyDescent="0.35"/>
    <row r="1027" ht="15.75" customHeight="1" x14ac:dyDescent="0.35"/>
    <row r="1028" ht="15.75" customHeight="1" x14ac:dyDescent="0.35"/>
    <row r="1029" ht="15.75" customHeight="1" x14ac:dyDescent="0.35"/>
    <row r="1030" ht="15.75" customHeight="1" x14ac:dyDescent="0.35"/>
    <row r="1031" ht="15.75" customHeight="1" x14ac:dyDescent="0.35"/>
    <row r="1032" ht="15.75" customHeight="1" x14ac:dyDescent="0.35"/>
  </sheetData>
  <mergeCells count="9">
    <mergeCell ref="V9:X9"/>
    <mergeCell ref="A76:B76"/>
    <mergeCell ref="W76:X76"/>
    <mergeCell ref="F3:O3"/>
    <mergeCell ref="F4:O4"/>
    <mergeCell ref="F6:O7"/>
    <mergeCell ref="A9:D9"/>
    <mergeCell ref="F9:L9"/>
    <mergeCell ref="N9:T9"/>
  </mergeCells>
  <pageMargins left="0.11811023622047245" right="0.15748031496062992" top="0.39370078740157483" bottom="0.39370078740157483" header="0.31496062992125984" footer="0.31496062992125984"/>
  <pageSetup paperSize="9" scale="26" orientation="landscape" r:id="rId1"/>
  <headerFooter scaleWithDoc="0" alignWithMargins="0"/>
  <rowBreaks count="1" manualBreakCount="1">
    <brk id="4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H25"/>
  <sheetViews>
    <sheetView rightToLeft="1" topLeftCell="A19" workbookViewId="0">
      <selection activeCell="I22" sqref="I22"/>
    </sheetView>
  </sheetViews>
  <sheetFormatPr defaultRowHeight="15" x14ac:dyDescent="0.25"/>
  <cols>
    <col min="1" max="1" width="5.28515625" customWidth="1"/>
    <col min="2" max="2" width="26.42578125" customWidth="1"/>
    <col min="3" max="3" width="19.28515625" customWidth="1"/>
    <col min="4" max="4" width="18.85546875" customWidth="1"/>
    <col min="5" max="5" width="21.28515625" customWidth="1"/>
  </cols>
  <sheetData>
    <row r="9" spans="1:8" ht="22.5" customHeight="1" x14ac:dyDescent="0.25">
      <c r="B9" s="144" t="s">
        <v>162</v>
      </c>
      <c r="C9" s="144"/>
      <c r="D9" s="144"/>
      <c r="E9" s="144"/>
      <c r="F9" s="91"/>
      <c r="G9" s="91"/>
      <c r="H9" s="91"/>
    </row>
    <row r="10" spans="1:8" ht="36" customHeight="1" x14ac:dyDescent="0.25">
      <c r="A10" s="88" t="s">
        <v>163</v>
      </c>
      <c r="B10" s="88" t="s">
        <v>164</v>
      </c>
      <c r="C10" s="88" t="s">
        <v>165</v>
      </c>
      <c r="D10" s="88" t="s">
        <v>166</v>
      </c>
      <c r="E10" s="88" t="s">
        <v>167</v>
      </c>
    </row>
    <row r="11" spans="1:8" ht="33" customHeight="1" x14ac:dyDescent="0.3">
      <c r="A11" s="86">
        <v>1</v>
      </c>
      <c r="B11" s="87" t="s">
        <v>168</v>
      </c>
      <c r="C11" s="89">
        <v>665923</v>
      </c>
      <c r="D11" s="89">
        <v>45721</v>
      </c>
      <c r="E11" s="89">
        <v>15360.56</v>
      </c>
    </row>
    <row r="12" spans="1:8" ht="33" customHeight="1" x14ac:dyDescent="0.3">
      <c r="A12" s="86">
        <v>2</v>
      </c>
      <c r="B12" s="87" t="s">
        <v>169</v>
      </c>
      <c r="C12" s="89">
        <v>1104964</v>
      </c>
      <c r="D12" s="89">
        <v>109762.5</v>
      </c>
      <c r="E12" s="89">
        <v>30288.45</v>
      </c>
    </row>
    <row r="13" spans="1:8" ht="33" customHeight="1" x14ac:dyDescent="0.3">
      <c r="A13" s="86">
        <v>3</v>
      </c>
      <c r="B13" s="87" t="s">
        <v>170</v>
      </c>
      <c r="C13" s="89">
        <v>1090116</v>
      </c>
      <c r="D13" s="89">
        <v>97640</v>
      </c>
      <c r="E13" s="89">
        <v>23509.62</v>
      </c>
    </row>
    <row r="14" spans="1:8" ht="33" customHeight="1" x14ac:dyDescent="0.3">
      <c r="A14" s="86">
        <v>4</v>
      </c>
      <c r="B14" s="87" t="s">
        <v>171</v>
      </c>
      <c r="C14" s="89">
        <v>1168052</v>
      </c>
      <c r="D14" s="89">
        <v>161022</v>
      </c>
      <c r="E14" s="89">
        <v>32091.35</v>
      </c>
    </row>
    <row r="15" spans="1:8" ht="33" customHeight="1" x14ac:dyDescent="0.3">
      <c r="A15" s="86">
        <v>5</v>
      </c>
      <c r="B15" s="87" t="s">
        <v>172</v>
      </c>
      <c r="C15" s="89">
        <v>1259801</v>
      </c>
      <c r="D15" s="89">
        <v>192560.1</v>
      </c>
      <c r="E15" s="89">
        <v>32668.7</v>
      </c>
    </row>
    <row r="16" spans="1:8" ht="33" customHeight="1" x14ac:dyDescent="0.3">
      <c r="A16" s="86">
        <v>6</v>
      </c>
      <c r="B16" s="87" t="s">
        <v>176</v>
      </c>
      <c r="C16" s="89">
        <v>1262768</v>
      </c>
      <c r="D16" s="89">
        <v>212377</v>
      </c>
      <c r="E16" s="89">
        <v>37689</v>
      </c>
    </row>
    <row r="17" spans="1:5" ht="33" customHeight="1" x14ac:dyDescent="0.3">
      <c r="A17" s="86">
        <v>7</v>
      </c>
      <c r="B17" s="87" t="s">
        <v>173</v>
      </c>
      <c r="C17" s="89">
        <v>1339862</v>
      </c>
      <c r="D17" s="89">
        <v>218329</v>
      </c>
      <c r="E17" s="89">
        <v>30250</v>
      </c>
    </row>
    <row r="18" spans="1:5" ht="33" customHeight="1" x14ac:dyDescent="0.3">
      <c r="A18" s="86">
        <v>8</v>
      </c>
      <c r="B18" s="87" t="s">
        <v>174</v>
      </c>
      <c r="C18" s="89">
        <v>1309593</v>
      </c>
      <c r="D18" s="89">
        <v>273248</v>
      </c>
      <c r="E18" s="89">
        <v>30359</v>
      </c>
    </row>
    <row r="19" spans="1:5" ht="33" customHeight="1" x14ac:dyDescent="0.3">
      <c r="A19" s="86">
        <v>9</v>
      </c>
      <c r="B19" s="87" t="s">
        <v>175</v>
      </c>
      <c r="C19" s="89">
        <v>1259703</v>
      </c>
      <c r="D19" s="89">
        <v>291042</v>
      </c>
      <c r="E19" s="89">
        <v>33568</v>
      </c>
    </row>
    <row r="20" spans="1:5" ht="33" customHeight="1" x14ac:dyDescent="0.3">
      <c r="A20" s="86">
        <v>10</v>
      </c>
      <c r="B20" s="87" t="s">
        <v>177</v>
      </c>
      <c r="C20" s="89">
        <v>1436335</v>
      </c>
      <c r="D20" s="89">
        <v>292710</v>
      </c>
      <c r="E20" s="89">
        <v>20703</v>
      </c>
    </row>
    <row r="21" spans="1:5" ht="33" customHeight="1" x14ac:dyDescent="0.3">
      <c r="A21" s="86">
        <v>11</v>
      </c>
      <c r="B21" s="87" t="s">
        <v>178</v>
      </c>
      <c r="C21" s="89">
        <v>1507278</v>
      </c>
      <c r="D21" s="89">
        <v>301450</v>
      </c>
      <c r="E21" s="89">
        <v>27472</v>
      </c>
    </row>
    <row r="22" spans="1:5" ht="33" customHeight="1" x14ac:dyDescent="0.3">
      <c r="A22" s="92">
        <v>12</v>
      </c>
      <c r="B22" s="87" t="s">
        <v>187</v>
      </c>
      <c r="C22" s="89">
        <v>1272854</v>
      </c>
      <c r="D22" s="89">
        <v>223435</v>
      </c>
      <c r="E22" s="89">
        <v>26146</v>
      </c>
    </row>
    <row r="23" spans="1:5" ht="30.6" customHeight="1" x14ac:dyDescent="0.25">
      <c r="A23" s="139" t="s">
        <v>58</v>
      </c>
      <c r="B23" s="140"/>
      <c r="C23" s="90">
        <f>SUM(C11:C22)</f>
        <v>14677249</v>
      </c>
      <c r="D23" s="90">
        <f t="shared" ref="D23:E23" si="0">SUM(D11:D22)</f>
        <v>2419296.6</v>
      </c>
      <c r="E23" s="90">
        <f t="shared" si="0"/>
        <v>340105.68000000005</v>
      </c>
    </row>
    <row r="25" spans="1:5" ht="30.6" customHeight="1" x14ac:dyDescent="0.25">
      <c r="A25" s="139" t="s">
        <v>179</v>
      </c>
      <c r="B25" s="140"/>
      <c r="C25" s="141">
        <f>C23+D23+E23</f>
        <v>17436651.280000001</v>
      </c>
      <c r="D25" s="142"/>
      <c r="E25" s="143"/>
    </row>
  </sheetData>
  <mergeCells count="4">
    <mergeCell ref="A23:B23"/>
    <mergeCell ref="A25:B25"/>
    <mergeCell ref="C25:E25"/>
    <mergeCell ref="B9:E9"/>
  </mergeCells>
  <pageMargins left="0.15748031496062992" right="0.19685039370078741" top="0.74803149606299213" bottom="0.7480314960629921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التامينات </vt:lpstr>
      <vt:lpstr>العديات</vt:lpstr>
      <vt:lpstr>المكافئات</vt:lpstr>
      <vt:lpstr>مارس 2026</vt:lpstr>
      <vt:lpstr>Sheet1</vt:lpstr>
      <vt:lpstr>'مارس 2026'!Print_Area</vt:lpstr>
      <vt:lpstr>'مارس 2026'!Print_Titles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2026-04-23T11:32:52Z</dcterms:modified>
</cp:coreProperties>
</file>